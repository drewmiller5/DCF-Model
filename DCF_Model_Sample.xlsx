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Stock Search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Income Statement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DCF Valuation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Scenarios" sheetId="8" state="visible" r:id="rId8"/>
    <sheet xmlns:r="http://schemas.openxmlformats.org/officeDocument/2006/relationships" name="Reverse DCF" sheetId="9" state="visible" r:id="rId9"/>
    <sheet xmlns:r="http://schemas.openxmlformats.org/officeDocument/2006/relationships" name="Pri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0.0%"/>
    <numFmt numFmtId="166" formatCode="0.0"/>
    <numFmt numFmtId="167" formatCode="0.0##"/>
    <numFmt numFmtId="168" formatCode="0.000"/>
    <numFmt numFmtId="169" formatCode="0.0000"/>
  </numFmts>
  <fonts count="2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i val="1"/>
      <color rgb="00000000"/>
      <sz val="9"/>
    </font>
    <font>
      <name val="Calibri"/>
      <color rgb="00000000"/>
      <sz val="9"/>
    </font>
    <font>
      <name val="Calibri"/>
      <b val="1"/>
      <color rgb="00FFFFFF"/>
      <sz val="14"/>
    </font>
    <font>
      <name val="Calibri"/>
      <i val="1"/>
      <color rgb="00404040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i val="1"/>
      <color rgb="00000000"/>
      <sz val="8"/>
    </font>
    <font>
      <name val="Calibri"/>
      <b val="1"/>
      <color rgb="00FFFFFF"/>
      <sz val="13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i val="1"/>
      <color rgb="00404040"/>
      <sz val="8"/>
    </font>
    <font>
      <name val="Calibri"/>
      <b val="1"/>
      <color rgb="00FFFFFF"/>
      <sz val="12"/>
    </font>
    <font>
      <name val="Calibri"/>
      <color rgb="00000000"/>
      <sz val="8"/>
    </font>
    <font>
      <name val="Calibri"/>
      <b val="1"/>
      <color rgb="00FFFFFF"/>
      <sz val="11"/>
    </font>
    <font>
      <name val="Calibri"/>
      <i val="1"/>
      <color rgb="00606060"/>
      <sz val="9"/>
    </font>
    <font>
      <name val="Calibri"/>
      <i val="1"/>
      <color rgb="00606060"/>
      <sz val="8"/>
    </font>
    <font>
      <name val="Calibri"/>
      <b val="1"/>
      <color rgb="00FFFFFF"/>
      <sz val="8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4170"/>
      </patternFill>
    </fill>
    <fill>
      <patternFill patternType="solid">
        <fgColor rgb="003F5FA0"/>
      </patternFill>
    </fill>
    <fill>
      <patternFill patternType="solid">
        <fgColor rgb="00D6E4F7"/>
      </patternFill>
    </fill>
    <fill>
      <patternFill patternType="solid">
        <fgColor rgb="00FFF9C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8EA9C1"/>
      </left>
      <right style="thin">
        <color rgb="008EA9C1"/>
      </right>
      <top style="thin">
        <color rgb="008EA9C1"/>
      </top>
      <bottom style="thin">
        <color rgb="008EA9C1"/>
      </bottom>
    </border>
    <border>
      <left/>
      <right/>
      <top style="thin">
        <color rgb="008EA9C1"/>
      </top>
      <bottom/>
      <diagonal/>
    </border>
    <border>
      <left/>
      <right style="thin">
        <color rgb="008EA9C1"/>
      </right>
      <top style="thin">
        <color rgb="008EA9C1"/>
      </top>
      <bottom/>
      <diagonal/>
    </border>
    <border>
      <left/>
      <right/>
      <top style="thin">
        <color rgb="008EA9C1"/>
      </top>
      <bottom style="thin">
        <color rgb="008EA9C1"/>
      </bottom>
      <diagonal/>
    </border>
    <border>
      <left/>
      <right style="thin">
        <color rgb="008EA9C1"/>
      </right>
      <top style="thin">
        <color rgb="008EA9C1"/>
      </top>
      <bottom style="thin">
        <color rgb="008EA9C1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49" fontId="9" fillId="6" borderId="1" applyAlignment="1" pivotButton="0" quotePrefix="0" xfId="0">
      <alignment horizontal="right" vertical="center"/>
    </xf>
    <xf numFmtId="4" fontId="9" fillId="6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164" fontId="9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166" fontId="9" fillId="6" borderId="1" applyAlignment="1" pivotButton="0" quotePrefix="0" xfId="0">
      <alignment horizontal="right" vertical="center"/>
    </xf>
    <xf numFmtId="2" fontId="9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10" fontId="9" fillId="6" borderId="1" applyAlignment="1" pivotButton="0" quotePrefix="0" xfId="0">
      <alignment horizontal="right" vertical="center"/>
    </xf>
    <xf numFmtId="0" fontId="9" fillId="7" borderId="1" pivotButton="0" quotePrefix="0" xfId="0"/>
    <xf numFmtId="10" fontId="9" fillId="8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left" vertical="center"/>
    </xf>
    <xf numFmtId="10" fontId="13" fillId="5" borderId="1" applyAlignment="1" pivotButton="0" quotePrefix="0" xfId="0">
      <alignment horizontal="right" vertical="center"/>
    </xf>
    <xf numFmtId="0" fontId="9" fillId="5" borderId="1" pivotButton="0" quotePrefix="0" xfId="0"/>
    <xf numFmtId="167" fontId="9" fillId="6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 vertical="center"/>
    </xf>
    <xf numFmtId="0" fontId="9" fillId="2" borderId="0" pivotButton="0" quotePrefix="0" xfId="0"/>
    <xf numFmtId="0" fontId="8" fillId="4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164" fontId="13" fillId="8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left" vertical="center"/>
    </xf>
    <xf numFmtId="164" fontId="8" fillId="3" borderId="1" applyAlignment="1" pivotButton="0" quotePrefix="0" xfId="0">
      <alignment horizontal="right" vertical="center"/>
    </xf>
    <xf numFmtId="2" fontId="9" fillId="8" borderId="1" applyAlignment="1" pivotButton="0" quotePrefix="0" xfId="0">
      <alignment horizontal="right" vertical="center"/>
    </xf>
    <xf numFmtId="168" fontId="9" fillId="8" borderId="1" applyAlignment="1" pivotButton="0" quotePrefix="0" xfId="0">
      <alignment horizontal="right" vertical="center"/>
    </xf>
    <xf numFmtId="0" fontId="17" fillId="3" borderId="1" applyAlignment="1" pivotButton="0" quotePrefix="0" xfId="0">
      <alignment horizontal="left" vertical="center"/>
    </xf>
    <xf numFmtId="10" fontId="17" fillId="4" borderId="1" applyAlignment="1" pivotButton="0" quotePrefix="0" xfId="0">
      <alignment horizontal="right" vertical="center"/>
    </xf>
    <xf numFmtId="49" fontId="9" fillId="8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left" vertical="center"/>
    </xf>
    <xf numFmtId="10" fontId="6" fillId="2" borderId="1" applyAlignment="1" pivotButton="0" quotePrefix="0" xfId="0">
      <alignment horizontal="right" vertical="center"/>
    </xf>
    <xf numFmtId="0" fontId="18" fillId="7" borderId="0" applyAlignment="1" pivotButton="0" quotePrefix="0" xfId="0">
      <alignment horizontal="left" vertical="center"/>
    </xf>
    <xf numFmtId="0" fontId="19" fillId="7" borderId="1" applyAlignment="1" pivotButton="0" quotePrefix="0" xfId="0">
      <alignment horizontal="left" vertical="center"/>
    </xf>
    <xf numFmtId="166" fontId="9" fillId="8" borderId="1" applyAlignment="1" pivotButton="0" quotePrefix="0" xfId="0">
      <alignment horizontal="right" vertical="center"/>
    </xf>
    <xf numFmtId="0" fontId="20" fillId="3" borderId="1" applyAlignment="1" pivotButton="0" quotePrefix="0" xfId="0">
      <alignment horizontal="center" vertical="center"/>
    </xf>
    <xf numFmtId="169" fontId="9" fillId="8" borderId="1" applyAlignment="1" pivotButton="0" quotePrefix="0" xfId="0">
      <alignment horizontal="right" vertical="center"/>
    </xf>
    <xf numFmtId="0" fontId="15" fillId="3" borderId="1" applyAlignment="1" pivotButton="0" quotePrefix="0" xfId="0">
      <alignment horizontal="left" vertical="center"/>
    </xf>
    <xf numFmtId="164" fontId="15" fillId="3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4" fontId="1" fillId="2" borderId="1" applyAlignment="1" pivotButton="0" quotePrefix="0" xfId="0">
      <alignment horizontal="right" vertical="center"/>
    </xf>
    <xf numFmtId="4" fontId="9" fillId="8" borderId="1" applyAlignment="1" pivotButton="0" quotePrefix="0" xfId="0">
      <alignment horizontal="right" vertical="center"/>
    </xf>
    <xf numFmtId="10" fontId="13" fillId="8" borderId="1" applyAlignment="1" pivotButton="0" quotePrefix="0" xfId="0">
      <alignment horizontal="right" vertical="center"/>
    </xf>
    <xf numFmtId="165" fontId="9" fillId="8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vertical="center"/>
    </xf>
    <xf numFmtId="0" fontId="20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right" vertical="center"/>
    </xf>
    <xf numFmtId="10" fontId="3" fillId="3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0" fontId="17" fillId="9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4" fontId="6" fillId="9" borderId="1" applyAlignment="1" pivotButton="0" quotePrefix="0" xfId="0">
      <alignment horizontal="right" vertical="center"/>
    </xf>
    <xf numFmtId="4" fontId="6" fillId="3" borderId="1" applyAlignment="1" pivotButton="0" quotePrefix="0" xfId="0">
      <alignment horizontal="right" vertical="center"/>
    </xf>
    <xf numFmtId="4" fontId="6" fillId="10" borderId="1" applyAlignment="1" pivotButton="0" quotePrefix="0" xfId="0">
      <alignment horizontal="right" vertical="center"/>
    </xf>
    <xf numFmtId="10" fontId="13" fillId="11" borderId="1" applyAlignment="1" pivotButton="0" quotePrefix="0" xfId="0">
      <alignment horizontal="right" vertical="center"/>
    </xf>
    <xf numFmtId="10" fontId="13" fillId="12" borderId="1" applyAlignment="1" pivotButton="0" quotePrefix="0" xfId="0">
      <alignment horizontal="right" vertical="center"/>
    </xf>
    <xf numFmtId="4" fontId="13" fillId="5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12" fillId="7" borderId="1" applyAlignment="1" pivotButton="0" quotePrefix="0" xfId="0">
      <alignment horizontal="left" vertical="center"/>
    </xf>
    <xf numFmtId="10" fontId="3" fillId="4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FCF Projection  (USD $M)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#,##0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'Income Statement'!$F$4:$O$4</f>
            </numRef>
          </cat>
          <val>
            <numRef>
              <f>'Income Statement'!$F$29:$O$29</f>
            </numRef>
          </val>
        </ser>
        <gapWidth val="3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FCFF ($M)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32</row>
      <rowOff>0</rowOff>
    </from>
    <ext cx="864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B1:C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62" customWidth="1" min="3" max="3"/>
  </cols>
  <sheetData>
    <row r="1" ht="32" customHeight="1">
      <c r="B1" s="1" t="inlineStr">
        <is>
          <t>Professional DCF Valuation Model</t>
        </is>
      </c>
    </row>
    <row r="2" ht="16" customHeight="1">
      <c r="B2" s="2" t="inlineStr">
        <is>
          <t xml:space="preserve">  Built 2026-06-14  |  Gold cells = inputs  |  White cells = formulas</t>
        </is>
      </c>
    </row>
    <row r="4" ht="14" customHeight="1">
      <c r="B4" s="3" t="inlineStr">
        <is>
          <t xml:space="preserve">  [Stock Search]  One command to build and populate — pick your stock and date:</t>
        </is>
      </c>
      <c r="C4" s="76" t="n"/>
    </row>
    <row r="5" ht="13" customHeight="1">
      <c r="B5" s="4" t="inlineStr">
        <is>
          <t xml:space="preserve">         python build_dcf.py AAPL                     (live data)</t>
        </is>
      </c>
      <c r="C5" s="76" t="n"/>
    </row>
    <row r="6" ht="13" customHeight="1">
      <c r="B6" s="4" t="inlineStr">
        <is>
          <t xml:space="preserve">         python build_dcf.py AAPL --date 2020-03-23   (COVID crash low)</t>
        </is>
      </c>
      <c r="C6" s="76" t="n"/>
    </row>
    <row r="7" ht="13" customHeight="1">
      <c r="B7" s="4" t="inlineStr">
        <is>
          <t xml:space="preserve">         python build_dcf.py AAPL --date 2008         (financial crisis)</t>
        </is>
      </c>
      <c r="C7" s="76" t="n"/>
    </row>
    <row r="8" ht="13" customHeight="1">
      <c r="B8" s="4" t="inlineStr">
        <is>
          <t xml:space="preserve">       Microsoft 365: select B5 then Data &gt; Stocks to link live data.</t>
        </is>
      </c>
      <c r="C8" s="76" t="n"/>
    </row>
    <row r="9" ht="14" customHeight="1">
      <c r="B9" s="5" t="inlineStr">
        <is>
          <t xml:space="preserve">  [Assumptions]  Edit all gold cells. Revenue growth, margins, WACC inputs, terminal value.</t>
        </is>
      </c>
      <c r="C9" s="76" t="n"/>
    </row>
    <row r="10" ht="13" customHeight="1">
      <c r="B10" s="4" t="inlineStr">
        <is>
          <t xml:space="preserve">       To refresh data only:  python update_dcf.py AAPL  (keeps your thesis intact)</t>
        </is>
      </c>
      <c r="C10" s="76" t="n"/>
    </row>
    <row r="11" ht="14" customHeight="1">
      <c r="B11" s="5" t="inlineStr">
        <is>
          <t xml:space="preserve">  [Income Statement]  Historical (grey) + 10-year projection. FCF computed automatically.</t>
        </is>
      </c>
      <c r="C11" s="76" t="n"/>
    </row>
    <row r="12" ht="14" customHeight="1">
      <c r="B12" s="5" t="inlineStr">
        <is>
          <t xml:space="preserve">  [WACC]  Cost of equity (CAPM), cost of debt, capital structure -&gt; WACC.</t>
        </is>
      </c>
      <c r="C12" s="76" t="n"/>
    </row>
    <row r="13" ht="14" customHeight="1">
      <c r="B13" s="5" t="inlineStr">
        <is>
          <t xml:space="preserve">  [DCF Valuation]  Discounted FCFs + terminal value -&gt; Enterprise Value -&gt; Implied Price.</t>
        </is>
      </c>
      <c r="C13" s="76" t="n"/>
    </row>
    <row r="14" ht="14" customHeight="1">
      <c r="B14" s="5" t="inlineStr">
        <is>
          <t xml:space="preserve">  [Sensitivity]  Implied price vs WACC x terminal growth rate. Green = upside.</t>
        </is>
      </c>
      <c r="C14" s="76" t="n"/>
    </row>
  </sheetData>
  <mergeCells count="13">
    <mergeCell ref="B13:C13"/>
    <mergeCell ref="B6:C6"/>
    <mergeCell ref="B2:C2"/>
    <mergeCell ref="B7:C7"/>
    <mergeCell ref="B11:C11"/>
    <mergeCell ref="B5:C5"/>
    <mergeCell ref="B10:C10"/>
    <mergeCell ref="B14:C14"/>
    <mergeCell ref="B9:C9"/>
    <mergeCell ref="B1:C1"/>
    <mergeCell ref="B8:C8"/>
    <mergeCell ref="B4:C4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F5FA0"/>
    <outlinePr summaryBelow="1" summaryRight="1"/>
    <pageSetUpPr/>
  </sheetPr>
  <dimension ref="B1:E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8" customWidth="1" min="3" max="3"/>
    <col width="28" customWidth="1" min="4" max="4"/>
    <col width="18" customWidth="1" min="5" max="5"/>
  </cols>
  <sheetData>
    <row r="1" ht="30" customHeight="1">
      <c r="B1" s="6" t="inlineStr">
        <is>
          <t>STOCK SEARCH  -  Data Input Center</t>
        </is>
      </c>
    </row>
    <row r="2" ht="14" customHeight="1">
      <c r="B2" s="7" t="inlineStr">
        <is>
          <t xml:space="preserve">  Enter ticker in B5 below. Microsoft 365: select B5, then Data &gt; Stocks to link live data.  Or run update_dcf.py to auto-populate.</t>
        </is>
      </c>
    </row>
    <row r="4" ht="16" customHeight="1">
      <c r="B4" s="8" t="inlineStr">
        <is>
          <t>TICKER</t>
        </is>
      </c>
      <c r="C4" s="8" t="inlineStr">
        <is>
          <t>PRICE ($)</t>
        </is>
      </c>
      <c r="D4" s="8" t="inlineStr">
        <is>
          <t>COMPANY</t>
        </is>
      </c>
      <c r="E4" s="8" t="inlineStr">
        <is>
          <t>LAST UPDATED</t>
        </is>
      </c>
    </row>
    <row r="5" ht="18" customHeight="1">
      <c r="B5" s="9" t="inlineStr">
        <is>
          <t>MSFT</t>
        </is>
      </c>
      <c r="C5" s="10" t="n">
        <v>390.34</v>
      </c>
      <c r="D5" s="9" t="inlineStr">
        <is>
          <t>Microsoft Corporation</t>
        </is>
      </c>
      <c r="E5" s="9" t="inlineStr">
        <is>
          <t>2026-06-14</t>
        </is>
      </c>
    </row>
    <row r="7" ht="15" customHeight="1">
      <c r="B7" s="11" t="inlineStr">
        <is>
          <t xml:space="preserve">  PRICE &amp; RANGE</t>
        </is>
      </c>
      <c r="C7" s="75" t="n"/>
      <c r="D7" s="75" t="n"/>
      <c r="E7" s="76" t="n"/>
    </row>
    <row r="8" ht="17" customHeight="1">
      <c r="B8" s="12" t="inlineStr">
        <is>
          <t xml:space="preserve">  Current Price / 52-Week High / 52-Week Low</t>
        </is>
      </c>
      <c r="C8" s="10" t="n">
        <v>390.34</v>
      </c>
      <c r="D8" s="10" t="n">
        <v>551.05</v>
      </c>
      <c r="E8" s="10" t="n">
        <v>355.51</v>
      </c>
    </row>
    <row r="9" ht="15" customHeight="1">
      <c r="B9" s="11" t="inlineStr">
        <is>
          <t xml:space="preserve">  SHARES &amp; MARKET CAP</t>
        </is>
      </c>
      <c r="C9" s="75" t="n"/>
      <c r="D9" s="75" t="n"/>
      <c r="E9" s="76" t="n"/>
    </row>
    <row r="10" ht="17" customHeight="1">
      <c r="B10" s="12" t="inlineStr">
        <is>
          <t xml:space="preserve">  Market Cap ($M) / Shares Out. (M) / Float %</t>
        </is>
      </c>
      <c r="C10" s="13" t="n">
        <v>2902586.6</v>
      </c>
      <c r="D10" s="13" t="n">
        <v>7428.4</v>
      </c>
      <c r="E10" s="14" t="n">
        <v>0.9985000000000001</v>
      </c>
    </row>
    <row r="11" ht="15" customHeight="1">
      <c r="B11" s="11" t="inlineStr">
        <is>
          <t xml:space="preserve">  INCOME (TTM, $M)</t>
        </is>
      </c>
      <c r="C11" s="75" t="n"/>
      <c r="D11" s="75" t="n"/>
      <c r="E11" s="76" t="n"/>
    </row>
    <row r="12" ht="17" customHeight="1">
      <c r="B12" s="12" t="inlineStr">
        <is>
          <t xml:space="preserve">  Revenue / EBITDA / Net Income</t>
        </is>
      </c>
      <c r="C12" s="13" t="n">
        <v>318273</v>
      </c>
      <c r="D12" s="13" t="n">
        <v>184457</v>
      </c>
      <c r="E12" s="13" t="n">
        <v>125216</v>
      </c>
    </row>
    <row r="13" ht="15" customHeight="1">
      <c r="B13" s="11" t="inlineStr">
        <is>
          <t xml:space="preserve">  BALANCE SHEET ($M)</t>
        </is>
      </c>
      <c r="C13" s="75" t="n"/>
      <c r="D13" s="75" t="n"/>
      <c r="E13" s="76" t="n"/>
    </row>
    <row r="14" ht="17" customHeight="1">
      <c r="B14" s="12" t="inlineStr">
        <is>
          <t xml:space="preserve">  Total Debt / Cash / Net Debt</t>
        </is>
      </c>
      <c r="C14" s="13" t="n">
        <v>125432</v>
      </c>
      <c r="D14" s="13" t="n">
        <v>78228</v>
      </c>
      <c r="E14" s="15">
        <f>C16-D16</f>
        <v/>
      </c>
    </row>
    <row r="15" ht="15" customHeight="1">
      <c r="B15" s="11" t="inlineStr">
        <is>
          <t xml:space="preserve">  VALUATION</t>
        </is>
      </c>
      <c r="C15" s="75" t="n"/>
      <c r="D15" s="75" t="n"/>
      <c r="E15" s="76" t="n"/>
    </row>
    <row r="16" ht="17" customHeight="1">
      <c r="B16" s="12" t="inlineStr">
        <is>
          <t xml:space="preserve">  P/E (TTM) / EV/EBITDA / Beta</t>
        </is>
      </c>
      <c r="C16" s="16" t="n">
        <v>23.3</v>
      </c>
      <c r="D16" s="16" t="n">
        <v>16</v>
      </c>
      <c r="E16" s="17" t="n">
        <v>1.07</v>
      </c>
    </row>
    <row r="18" ht="15" customHeight="1">
      <c r="B18" s="11" t="inlineStr">
        <is>
          <t xml:space="preserve">  MICROSOFT 365 STOCKS DATA TYPE - INSTRUCTIONS</t>
        </is>
      </c>
      <c r="C18" s="75" t="n"/>
      <c r="D18" s="75" t="n"/>
      <c r="E18" s="76" t="n"/>
    </row>
    <row r="19" ht="13" customHeight="1">
      <c r="B19" s="18" t="inlineStr">
        <is>
          <t xml:space="preserve">  1. Type ticker in B5  (e.g. AAPL, MSFT, GOOGL, NVDA)</t>
        </is>
      </c>
      <c r="C19" s="75" t="n"/>
      <c r="D19" s="75" t="n"/>
      <c r="E19" s="76" t="n"/>
    </row>
    <row r="20" ht="13" customHeight="1">
      <c r="B20" s="18" t="inlineStr">
        <is>
          <t xml:space="preserve">  2. With B5 selected: click  Data  tab  &gt;  Stocks  button in ribbon</t>
        </is>
      </c>
      <c r="C20" s="75" t="n"/>
      <c r="D20" s="75" t="n"/>
      <c r="E20" s="76" t="n"/>
    </row>
    <row r="21" ht="13" customHeight="1">
      <c r="B21" s="18" t="inlineStr">
        <is>
          <t xml:space="preserve">  3. Excel converts the text to a linked Stocks data type (shows stock icon)</t>
        </is>
      </c>
      <c r="C21" s="75" t="n"/>
      <c r="D21" s="75" t="n"/>
      <c r="E21" s="76" t="n"/>
    </row>
    <row r="22" ht="13" customHeight="1">
      <c r="B22" s="18" t="inlineStr">
        <is>
          <t xml:space="preserve">  4. Click the icon to browse available fields, or type  =B5.Price  to extract any field</t>
        </is>
      </c>
      <c r="C22" s="75" t="n"/>
      <c r="D22" s="75" t="n"/>
      <c r="E22" s="76" t="n"/>
    </row>
    <row r="23" ht="13" customHeight="1">
      <c r="B23" s="18" t="inlineStr">
        <is>
          <t xml:space="preserve">  5. STOCKHISTORY(B5, start_date, end_date)  returns historical price table</t>
        </is>
      </c>
      <c r="C23" s="75" t="n"/>
      <c r="D23" s="75" t="n"/>
      <c r="E23" s="76" t="n"/>
    </row>
    <row r="24" ht="13" customHeight="1">
      <c r="B24" s="18" t="inlineStr">
        <is>
          <t xml:space="preserve">  </t>
        </is>
      </c>
      <c r="C24" s="75" t="n"/>
      <c r="D24" s="75" t="n"/>
      <c r="E24" s="76" t="n"/>
    </row>
    <row r="25" ht="13" customHeight="1">
      <c r="B25" s="5" t="inlineStr">
        <is>
          <t xml:space="preserve">  PYTHON AUTO-FILL (works with any Excel version):</t>
        </is>
      </c>
      <c r="C25" s="75" t="n"/>
      <c r="D25" s="75" t="n"/>
      <c r="E25" s="76" t="n"/>
    </row>
    <row r="26" ht="13" customHeight="1">
      <c r="B26" s="19" t="inlineStr">
        <is>
          <t xml:space="preserve">     pip install yfinance openpyxl</t>
        </is>
      </c>
      <c r="C26" s="75" t="n"/>
      <c r="D26" s="75" t="n"/>
      <c r="E26" s="76" t="n"/>
    </row>
    <row r="27" ht="13" customHeight="1">
      <c r="B27" s="19" t="inlineStr">
        <is>
          <t xml:space="preserve">     python update_dcf.py AAPL</t>
        </is>
      </c>
      <c r="C27" s="75" t="n"/>
      <c r="D27" s="75" t="n"/>
      <c r="E27" s="76" t="n"/>
    </row>
  </sheetData>
  <mergeCells count="22">
    <mergeCell ref="B9:E9"/>
    <mergeCell ref="B15:E15"/>
    <mergeCell ref="B24:E24"/>
    <mergeCell ref="B20:E20"/>
    <mergeCell ref="B26:E26"/>
    <mergeCell ref="B7:E7"/>
    <mergeCell ref="B16"/>
    <mergeCell ref="B25:E25"/>
    <mergeCell ref="B22:E22"/>
    <mergeCell ref="B18:E18"/>
    <mergeCell ref="B27:E27"/>
    <mergeCell ref="B12"/>
    <mergeCell ref="B21:E21"/>
    <mergeCell ref="B11:E11"/>
    <mergeCell ref="B2:E2"/>
    <mergeCell ref="B14"/>
    <mergeCell ref="B8"/>
    <mergeCell ref="B23:E23"/>
    <mergeCell ref="B1:E1"/>
    <mergeCell ref="B13:E13"/>
    <mergeCell ref="B10"/>
    <mergeCell ref="B19:E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22C"/>
    <outlinePr summaryBelow="1" summaryRight="1"/>
    <pageSetUpPr/>
  </sheetPr>
  <dimension ref="B1:E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32" customWidth="1" min="4" max="4"/>
    <col width="16" customWidth="1" min="5" max="5"/>
  </cols>
  <sheetData>
    <row r="1" ht="26" customHeight="1">
      <c r="B1" s="20" t="inlineStr">
        <is>
          <t>MODEL ASSUMPTIONS  -  Edit Gold Cells Only</t>
        </is>
      </c>
    </row>
    <row r="2" ht="13" customHeight="1">
      <c r="B2" s="7" t="inlineStr">
        <is>
          <t xml:space="preserve">  All dollar amounts in USD millions. Percentages as decimals (10% = 0.10).</t>
        </is>
      </c>
    </row>
    <row r="4" ht="17" customHeight="1">
      <c r="B4" s="11" t="inlineStr">
        <is>
          <t xml:space="preserve">  COMPANY</t>
        </is>
      </c>
      <c r="C4" s="75" t="n"/>
      <c r="D4" s="75" t="n"/>
      <c r="E4" s="76" t="n"/>
    </row>
    <row r="5" ht="17" customHeight="1">
      <c r="B5" s="18" t="inlineStr">
        <is>
          <t xml:space="preserve">  Company Name</t>
        </is>
      </c>
      <c r="C5" s="9" t="inlineStr">
        <is>
          <t>Microsoft Corporation</t>
        </is>
      </c>
      <c r="D5" s="18" t="inlineStr">
        <is>
          <t xml:space="preserve">  Ticker</t>
        </is>
      </c>
      <c r="E5" s="9" t="inlineStr">
        <is>
          <t>MSFT</t>
        </is>
      </c>
    </row>
    <row r="6" ht="17" customHeight="1">
      <c r="B6" s="18" t="inlineStr">
        <is>
          <t xml:space="preserve">  Fiscal Year End</t>
        </is>
      </c>
      <c r="C6" s="9" t="inlineStr">
        <is>
          <t>September</t>
        </is>
      </c>
      <c r="D6" s="18" t="inlineStr">
        <is>
          <t xml:space="preserve">  Currency</t>
        </is>
      </c>
      <c r="E6" s="9" t="inlineStr">
        <is>
          <t>USD</t>
        </is>
      </c>
    </row>
    <row r="7" ht="17" customHeight="1">
      <c r="B7" s="18" t="inlineStr">
        <is>
          <t xml:space="preserve">  Current Price ($)</t>
        </is>
      </c>
      <c r="C7" s="10" t="n">
        <v>390.34</v>
      </c>
      <c r="D7" s="18" t="inlineStr">
        <is>
          <t xml:space="preserve">  Shares Out. (M)</t>
        </is>
      </c>
      <c r="E7" s="13" t="n">
        <v>7428.4</v>
      </c>
    </row>
    <row r="8" ht="17" customHeight="1">
      <c r="B8" s="18" t="inlineStr">
        <is>
          <t xml:space="preserve">  Total Debt ($M)</t>
        </is>
      </c>
      <c r="C8" s="13" t="n">
        <v>125432</v>
      </c>
      <c r="D8" s="18" t="inlineStr">
        <is>
          <t xml:space="preserve">  Cash ($M)</t>
        </is>
      </c>
      <c r="E8" s="13" t="n">
        <v>78228</v>
      </c>
    </row>
    <row r="9" ht="17" customHeight="1">
      <c r="B9" s="11" t="inlineStr">
        <is>
          <t xml:space="preserve">  REVENUE GROWTH  (10-year projection ramp)</t>
        </is>
      </c>
      <c r="C9" s="75" t="n"/>
      <c r="D9" s="75" t="n"/>
      <c r="E9" s="76" t="n"/>
    </row>
    <row r="10" ht="17" customHeight="1">
      <c r="B10" s="18" t="inlineStr">
        <is>
          <t xml:space="preserve">  Y1 Revenue Growth</t>
        </is>
      </c>
      <c r="C10" s="21" t="n">
        <v>0.2182</v>
      </c>
      <c r="D10" s="18" t="inlineStr">
        <is>
          <t xml:space="preserve">  Y2 Revenue Growth</t>
        </is>
      </c>
      <c r="E10" s="21" t="n">
        <v>0.19</v>
      </c>
    </row>
    <row r="11" ht="17" customHeight="1">
      <c r="B11" s="18" t="inlineStr">
        <is>
          <t xml:space="preserve">  Y3 Revenue Growth</t>
        </is>
      </c>
      <c r="C11" s="21" t="n">
        <v>0.1633</v>
      </c>
      <c r="D11" s="18" t="inlineStr">
        <is>
          <t xml:space="preserve">  Y4 Revenue Growth</t>
        </is>
      </c>
      <c r="E11" s="21" t="n">
        <v>0.1382</v>
      </c>
    </row>
    <row r="12" ht="17" customHeight="1">
      <c r="B12" s="18" t="inlineStr">
        <is>
          <t xml:space="preserve">  Y5 Revenue Growth</t>
        </is>
      </c>
      <c r="C12" s="21" t="n">
        <v>0.1148</v>
      </c>
      <c r="D12" s="18" t="inlineStr">
        <is>
          <t xml:space="preserve">  Y6 Revenue Growth</t>
        </is>
      </c>
      <c r="E12" s="21" t="n">
        <v>0.09329999999999999</v>
      </c>
    </row>
    <row r="13" ht="17" customHeight="1">
      <c r="B13" s="18" t="inlineStr">
        <is>
          <t xml:space="preserve">  Y7 Revenue Growth</t>
        </is>
      </c>
      <c r="C13" s="21" t="n">
        <v>0.07389999999999999</v>
      </c>
      <c r="D13" s="18" t="inlineStr">
        <is>
          <t xml:space="preserve">  Y8 Revenue Growth</t>
        </is>
      </c>
      <c r="E13" s="21" t="n">
        <v>0.0568</v>
      </c>
    </row>
    <row r="14" ht="17" customHeight="1">
      <c r="B14" s="18" t="inlineStr">
        <is>
          <t xml:space="preserve">  Y9 Revenue Growth</t>
        </is>
      </c>
      <c r="C14" s="21" t="n">
        <v>0.0423</v>
      </c>
      <c r="D14" s="18" t="inlineStr">
        <is>
          <t xml:space="preserve">  Y10 Revenue Growth</t>
        </is>
      </c>
      <c r="E14" s="21" t="n">
        <v>0.0311</v>
      </c>
    </row>
    <row r="15" ht="17" customHeight="1">
      <c r="B15" s="11" t="inlineStr">
        <is>
          <t xml:space="preserve">  MARGIN ASSUMPTIONS  ·  NWC source: Damodaran wcdata.html — pages.stern.nyu.edu/~adamodar/New_Home_Page/datafile/wcdata.html  (sector-specific benchmark auto-applied by update_dcf.py)</t>
        </is>
      </c>
      <c r="C15" s="75" t="n"/>
      <c r="D15" s="75" t="n"/>
      <c r="E15" s="76" t="n"/>
    </row>
    <row r="16" ht="17" customHeight="1">
      <c r="B16" s="18" t="inlineStr">
        <is>
          <t xml:space="preserve">  Gross Margin %</t>
        </is>
      </c>
      <c r="C16" s="21" t="n">
        <v>0.6092</v>
      </c>
      <c r="D16" s="18" t="inlineStr">
        <is>
          <t xml:space="preserve">  EBITDA Margin %</t>
        </is>
      </c>
      <c r="E16" s="21" t="n">
        <v>0.5796</v>
      </c>
    </row>
    <row r="17" ht="17" customHeight="1">
      <c r="B17" s="18" t="inlineStr">
        <is>
          <t xml:space="preserve">  D&amp;A (% of Revenue)</t>
        </is>
      </c>
      <c r="C17" s="21" t="n">
        <v>0.1073</v>
      </c>
      <c r="D17" s="18" t="inlineStr">
        <is>
          <t xml:space="preserve">  CapEx (% of Revenue)</t>
        </is>
      </c>
      <c r="E17" s="21" t="n">
        <v>0.2028</v>
      </c>
    </row>
    <row r="18" ht="17" customHeight="1">
      <c r="B18" s="18" t="inlineStr">
        <is>
          <t xml:space="preserve">  Net Working Cap (% Rev)</t>
        </is>
      </c>
      <c r="C18" s="21" t="n">
        <v>-0.0224</v>
      </c>
      <c r="D18" s="18" t="inlineStr">
        <is>
          <t xml:space="preserve">  Tax Rate</t>
        </is>
      </c>
      <c r="E18" s="21" t="n">
        <v>0.155</v>
      </c>
    </row>
    <row r="19" ht="17" customHeight="1">
      <c r="B19" s="18" t="inlineStr">
        <is>
          <t xml:space="preserve">  SBC (% of Revenue)</t>
        </is>
      </c>
      <c r="C19" s="21" t="n">
        <v>0.025</v>
      </c>
      <c r="D19" s="22" t="inlineStr"/>
      <c r="E19" s="22" t="inlineStr"/>
    </row>
    <row r="20" ht="17" customHeight="1">
      <c r="B20" s="11" t="inlineStr">
        <is>
          <t xml:space="preserve">  WACC INPUTS  ·  Source: Damodaran Implied ERP — pages.stern.nyu.edu/~adamodar/New_Home_Page/datafile/histimpl.html  (2025: Rf=4.18%, ERP=4.23%)</t>
        </is>
      </c>
      <c r="C20" s="75" t="n"/>
      <c r="D20" s="75" t="n"/>
      <c r="E20" s="76" t="n"/>
    </row>
    <row r="21" ht="17" customHeight="1">
      <c r="B21" s="18" t="inlineStr">
        <is>
          <t xml:space="preserve">  Risk-Free Rate (Rf)</t>
        </is>
      </c>
      <c r="C21" s="21" t="n">
        <v>0.0418</v>
      </c>
      <c r="D21" s="18" t="inlineStr">
        <is>
          <t xml:space="preserve">  Equity Risk Premium</t>
        </is>
      </c>
      <c r="E21" s="21" t="n">
        <v>0.0423</v>
      </c>
    </row>
    <row r="22" ht="17" customHeight="1">
      <c r="B22" s="18" t="inlineStr">
        <is>
          <t xml:space="preserve">  Beta (Levered)</t>
        </is>
      </c>
      <c r="C22" s="17" t="n">
        <v>1.07</v>
      </c>
      <c r="D22" s="18" t="inlineStr">
        <is>
          <t xml:space="preserve">  Pre-Tax Cost of Debt</t>
        </is>
      </c>
      <c r="E22" s="21" t="n">
        <v>0.038</v>
      </c>
    </row>
    <row r="23" ht="17" customHeight="1">
      <c r="B23" s="18" t="inlineStr">
        <is>
          <t xml:space="preserve">  Debt / Capital (Wd)  [market-value, auto-computed]</t>
        </is>
      </c>
      <c r="C23" s="23">
        <f>1-E23</f>
        <v/>
      </c>
      <c r="D23" s="18" t="inlineStr">
        <is>
          <t xml:space="preserve">  Equity / Capital (We)  [Price × Shares / (Mkt Cap + Debt)]</t>
        </is>
      </c>
      <c r="E23" s="23">
        <f>(C7*E7)/((C7*E7)+C8)</f>
        <v/>
      </c>
    </row>
    <row r="24" ht="17" customHeight="1">
      <c r="B24" s="24" t="inlineStr">
        <is>
          <t xml:space="preserve">  WACC (from WACC sheet)</t>
        </is>
      </c>
      <c r="C24" s="25">
        <f>WACC!E17</f>
        <v/>
      </c>
      <c r="D24" s="26" t="inlineStr"/>
      <c r="E24" s="26" t="inlineStr"/>
    </row>
    <row r="25" ht="17" customHeight="1">
      <c r="B25" s="11" t="inlineStr">
        <is>
          <t xml:space="preserve">  TERMINAL VALUE</t>
        </is>
      </c>
      <c r="C25" s="75" t="n"/>
      <c r="D25" s="75" t="n"/>
      <c r="E25" s="76" t="n"/>
    </row>
    <row r="26" ht="17" customHeight="1">
      <c r="B26" s="18" t="inlineStr">
        <is>
          <t xml:space="preserve">  Terminal Growth Rate</t>
        </is>
      </c>
      <c r="C26" s="21" t="n">
        <v>0.025</v>
      </c>
      <c r="D26" s="18" t="inlineStr">
        <is>
          <t xml:space="preserve">  Exit EBITDA Multiple</t>
        </is>
      </c>
      <c r="E26" s="16" t="n">
        <v>18</v>
      </c>
    </row>
    <row r="27" ht="17" customHeight="1">
      <c r="B27" s="11" t="inlineStr">
        <is>
          <t xml:space="preserve">  HISTORICAL REVENUE (for Y0 base)</t>
        </is>
      </c>
      <c r="C27" s="75" t="n"/>
      <c r="D27" s="75" t="n"/>
      <c r="E27" s="76" t="n"/>
    </row>
    <row r="28" ht="17" customHeight="1">
      <c r="B28" s="18" t="inlineStr">
        <is>
          <t xml:space="preserve">  Base Revenue ($M)  [LTM/Y0]</t>
        </is>
      </c>
      <c r="C28" s="13" t="n">
        <v>318273</v>
      </c>
      <c r="D28" s="18" t="inlineStr">
        <is>
          <t xml:space="preserve">  FY-1 Revenue ($M)</t>
        </is>
      </c>
      <c r="E28" s="13" t="n">
        <v>245122</v>
      </c>
    </row>
    <row r="29" ht="17" customHeight="1">
      <c r="B29" s="18" t="inlineStr">
        <is>
          <t xml:space="preserve">  FY-2 Revenue ($M)</t>
        </is>
      </c>
      <c r="C29" s="13" t="n">
        <v>211915</v>
      </c>
      <c r="D29" s="22" t="inlineStr"/>
      <c r="E29" s="22" t="inlineStr"/>
    </row>
    <row r="30" ht="17" customHeight="1">
      <c r="B30" s="11" t="inlineStr">
        <is>
          <t xml:space="preserve">  ADVANCED SETTINGS  (change here — all sheets update automatically)</t>
        </is>
      </c>
      <c r="C30" s="75" t="n"/>
      <c r="D30" s="75" t="n"/>
      <c r="E30" s="76" t="n"/>
    </row>
    <row r="31" ht="17" customHeight="1">
      <c r="B31" s="18" t="inlineStr">
        <is>
          <t xml:space="preserve">  Mid-Year Offset  (0 = yr-end, 0.5 = mid-yr)</t>
        </is>
      </c>
      <c r="C31" s="27" t="n">
        <v>0</v>
      </c>
      <c r="D31" s="18" t="inlineStr">
        <is>
          <t xml:space="preserve">  SBC Add-Back Scale  (1 = full, 0 = exclude)</t>
        </is>
      </c>
      <c r="E31" s="16" t="n">
        <v>0</v>
      </c>
    </row>
    <row r="32" ht="13" customHeight="1">
      <c r="B32" s="28" t="inlineStr">
        <is>
          <t xml:space="preserve">  Mid-Year: 0 = cash flows arrive year-end (default) | 0.5 = mid-year convention (raises implied price ~4–6%) | 0.3 or 0.7 also valid. SBC: 1 = full add-back | 0.5 = partial | 0 = exclude (most conservative).</t>
        </is>
      </c>
      <c r="C32" s="75" t="n"/>
      <c r="D32" s="75" t="n"/>
      <c r="E32" s="76" t="n"/>
    </row>
    <row r="34" ht="17" customHeight="1">
      <c r="B34" s="11" t="inlineStr">
        <is>
          <t xml:space="preserve">  INVESTMENT THESIS (free text)</t>
        </is>
      </c>
      <c r="C34" s="75" t="n"/>
      <c r="D34" s="75" t="n"/>
      <c r="E34" s="76" t="n"/>
    </row>
    <row r="35" ht="15" customHeight="1">
      <c r="B35" s="9" t="inlineStr">
        <is>
          <t>Company and thesis notes here.</t>
        </is>
      </c>
      <c r="C35" s="75" t="n"/>
      <c r="D35" s="75" t="n"/>
      <c r="E35" s="76" t="n"/>
    </row>
    <row r="36" ht="15" customHeight="1">
      <c r="B36" s="9" t="inlineStr">
        <is>
          <t>Key risks:</t>
        </is>
      </c>
      <c r="C36" s="75" t="n"/>
      <c r="D36" s="75" t="n"/>
      <c r="E36" s="76" t="n"/>
    </row>
    <row r="37" ht="15" customHeight="1">
      <c r="B37" s="9" t="inlineStr">
        <is>
          <t>Key catalysts:</t>
        </is>
      </c>
      <c r="C37" s="75" t="n"/>
      <c r="D37" s="75" t="n"/>
      <c r="E37" s="76" t="n"/>
    </row>
  </sheetData>
  <mergeCells count="14">
    <mergeCell ref="B9:E9"/>
    <mergeCell ref="B1:E1"/>
    <mergeCell ref="B27:E27"/>
    <mergeCell ref="B35:E35"/>
    <mergeCell ref="B4:E4"/>
    <mergeCell ref="B37:E37"/>
    <mergeCell ref="B34:E34"/>
    <mergeCell ref="B30:E30"/>
    <mergeCell ref="B15:E15"/>
    <mergeCell ref="B25:E25"/>
    <mergeCell ref="B2:E2"/>
    <mergeCell ref="B20:E20"/>
    <mergeCell ref="B36:E36"/>
    <mergeCell ref="B32:E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4170"/>
    <outlinePr summaryBelow="1" summaryRight="1"/>
    <pageSetUpPr/>
  </sheetPr>
  <dimension ref="B1:O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6" customHeight="1">
      <c r="B1" s="29" t="inlineStr">
        <is>
          <t>INCOME STATEMENT &amp; FREE CASH FLOW  (USD $M)</t>
        </is>
      </c>
    </row>
    <row r="3" ht="13" customHeight="1">
      <c r="B3" s="30" t="inlineStr"/>
      <c r="C3" s="31" t="inlineStr">
        <is>
          <t>HISTORICAL</t>
        </is>
      </c>
      <c r="F3" s="32" t="inlineStr">
        <is>
          <t>PROJECTED  (10 years)</t>
        </is>
      </c>
    </row>
    <row r="4" ht="16" customHeight="1">
      <c r="B4" s="33" t="inlineStr">
        <is>
          <t xml:space="preserve">  Metric (USD $M)</t>
        </is>
      </c>
      <c r="C4" s="34" t="inlineStr">
        <is>
          <t>FY2024A</t>
        </is>
      </c>
      <c r="D4" s="34" t="inlineStr">
        <is>
          <t>FY2025A</t>
        </is>
      </c>
      <c r="E4" s="34" t="inlineStr">
        <is>
          <t>FY2026A</t>
        </is>
      </c>
      <c r="F4" s="35" t="inlineStr">
        <is>
          <t>FY2027E</t>
        </is>
      </c>
      <c r="G4" s="35" t="inlineStr">
        <is>
          <t>FY2028E</t>
        </is>
      </c>
      <c r="H4" s="35" t="inlineStr">
        <is>
          <t>FY2029E</t>
        </is>
      </c>
      <c r="I4" s="35" t="inlineStr">
        <is>
          <t>FY2030E</t>
        </is>
      </c>
      <c r="J4" s="35" t="inlineStr">
        <is>
          <t>FY2031E</t>
        </is>
      </c>
      <c r="K4" s="35" t="inlineStr">
        <is>
          <t>FY2032E</t>
        </is>
      </c>
      <c r="L4" s="35" t="inlineStr">
        <is>
          <t>FY2033E</t>
        </is>
      </c>
      <c r="M4" s="35" t="inlineStr">
        <is>
          <t>FY2034E</t>
        </is>
      </c>
      <c r="N4" s="35" t="inlineStr">
        <is>
          <t>FY2035E</t>
        </is>
      </c>
      <c r="O4" s="35" t="inlineStr">
        <is>
          <t>FY2036E</t>
        </is>
      </c>
    </row>
    <row r="5" ht="14" customHeight="1">
      <c r="B5" s="11" t="inlineStr">
        <is>
          <t xml:space="preserve">  REVENUE</t>
        </is>
      </c>
      <c r="C5" s="75" t="n"/>
      <c r="D5" s="75" t="n"/>
      <c r="E5" s="75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6" t="n"/>
    </row>
    <row r="6" ht="14" customHeight="1">
      <c r="B6" s="19" t="inlineStr">
        <is>
          <t xml:space="preserve">  Revenue Growth %</t>
        </is>
      </c>
      <c r="C6" s="36" t="inlineStr">
        <is>
          <t>—</t>
        </is>
      </c>
      <c r="D6" s="23">
        <f>(D7-C7)/C7</f>
        <v/>
      </c>
      <c r="E6" s="23">
        <f>(E7-D7)/D7</f>
        <v/>
      </c>
      <c r="F6" s="23">
        <f>Assumptions!C10</f>
        <v/>
      </c>
      <c r="G6" s="23">
        <f>Assumptions!E10</f>
        <v/>
      </c>
      <c r="H6" s="23">
        <f>Assumptions!C11</f>
        <v/>
      </c>
      <c r="I6" s="23">
        <f>Assumptions!E11</f>
        <v/>
      </c>
      <c r="J6" s="23">
        <f>Assumptions!C12</f>
        <v/>
      </c>
      <c r="K6" s="23">
        <f>Assumptions!E12</f>
        <v/>
      </c>
      <c r="L6" s="23">
        <f>Assumptions!C13</f>
        <v/>
      </c>
      <c r="M6" s="23">
        <f>Assumptions!E13</f>
        <v/>
      </c>
      <c r="N6" s="23">
        <f>Assumptions!C14</f>
        <v/>
      </c>
      <c r="O6" s="23">
        <f>Assumptions!E14</f>
        <v/>
      </c>
    </row>
    <row r="7" ht="18" customHeight="1">
      <c r="B7" s="24" t="inlineStr">
        <is>
          <t xml:space="preserve">  Revenue</t>
        </is>
      </c>
      <c r="C7" s="13">
        <f>Assumptions!C29</f>
        <v/>
      </c>
      <c r="D7" s="13">
        <f>Assumptions!E28</f>
        <v/>
      </c>
      <c r="E7" s="13">
        <f>Assumptions!C28</f>
        <v/>
      </c>
      <c r="F7" s="37">
        <f>E7*(1+Assumptions!C10)</f>
        <v/>
      </c>
      <c r="G7" s="37">
        <f>F7*(1+Assumptions!E10)</f>
        <v/>
      </c>
      <c r="H7" s="37">
        <f>G7*(1+Assumptions!C11)</f>
        <v/>
      </c>
      <c r="I7" s="37">
        <f>H7*(1+Assumptions!E11)</f>
        <v/>
      </c>
      <c r="J7" s="37">
        <f>I7*(1+Assumptions!C12)</f>
        <v/>
      </c>
      <c r="K7" s="37">
        <f>J7*(1+Assumptions!E12)</f>
        <v/>
      </c>
      <c r="L7" s="37">
        <f>K7*(1+Assumptions!C13)</f>
        <v/>
      </c>
      <c r="M7" s="37">
        <f>L7*(1+Assumptions!E13)</f>
        <v/>
      </c>
      <c r="N7" s="37">
        <f>M7*(1+Assumptions!C14)</f>
        <v/>
      </c>
      <c r="O7" s="37">
        <f>N7*(1+Assumptions!E14)</f>
        <v/>
      </c>
    </row>
    <row r="8" ht="14" customHeight="1">
      <c r="B8" s="11" t="inlineStr">
        <is>
          <t xml:space="preserve">  GROSS PROFIT</t>
        </is>
      </c>
      <c r="C8" s="75" t="n"/>
      <c r="D8" s="75" t="n"/>
      <c r="E8" s="75" t="n"/>
      <c r="F8" s="75" t="n"/>
      <c r="G8" s="75" t="n"/>
      <c r="H8" s="75" t="n"/>
      <c r="I8" s="75" t="n"/>
      <c r="J8" s="75" t="n"/>
      <c r="K8" s="75" t="n"/>
      <c r="L8" s="75" t="n"/>
      <c r="M8" s="75" t="n"/>
      <c r="N8" s="75" t="n"/>
      <c r="O8" s="76" t="n"/>
    </row>
    <row r="9" ht="14" customHeight="1">
      <c r="B9" s="19" t="inlineStr">
        <is>
          <t xml:space="preserve">  Gross Margin %</t>
        </is>
      </c>
      <c r="C9" s="21" t="n">
        <v>0.432</v>
      </c>
      <c r="D9" s="21" t="n">
        <v>0.433</v>
      </c>
      <c r="E9" s="21" t="n">
        <v>0.435</v>
      </c>
      <c r="F9" s="23">
        <f>Assumptions!C16</f>
        <v/>
      </c>
      <c r="G9" s="23">
        <f>Assumptions!C16</f>
        <v/>
      </c>
      <c r="H9" s="23">
        <f>Assumptions!C16</f>
        <v/>
      </c>
      <c r="I9" s="23">
        <f>Assumptions!C16</f>
        <v/>
      </c>
      <c r="J9" s="23">
        <f>Assumptions!C16</f>
        <v/>
      </c>
      <c r="K9" s="23">
        <f>Assumptions!C16</f>
        <v/>
      </c>
      <c r="L9" s="23">
        <f>Assumptions!C16</f>
        <v/>
      </c>
      <c r="M9" s="23">
        <f>Assumptions!C16</f>
        <v/>
      </c>
      <c r="N9" s="23">
        <f>Assumptions!C16</f>
        <v/>
      </c>
      <c r="O9" s="23">
        <f>Assumptions!C16</f>
        <v/>
      </c>
    </row>
    <row r="10" ht="18" customHeight="1">
      <c r="B10" s="24" t="inlineStr">
        <is>
          <t xml:space="preserve">  Gross Profit</t>
        </is>
      </c>
      <c r="C10" s="37">
        <f>C7*C9</f>
        <v/>
      </c>
      <c r="D10" s="37">
        <f>D7*D9</f>
        <v/>
      </c>
      <c r="E10" s="37">
        <f>E7*E9</f>
        <v/>
      </c>
      <c r="F10" s="37">
        <f>F7*F9</f>
        <v/>
      </c>
      <c r="G10" s="37">
        <f>G7*G9</f>
        <v/>
      </c>
      <c r="H10" s="37">
        <f>H7*H9</f>
        <v/>
      </c>
      <c r="I10" s="37">
        <f>I7*I9</f>
        <v/>
      </c>
      <c r="J10" s="37">
        <f>J7*J9</f>
        <v/>
      </c>
      <c r="K10" s="37">
        <f>K7*K9</f>
        <v/>
      </c>
      <c r="L10" s="37">
        <f>L7*L9</f>
        <v/>
      </c>
      <c r="M10" s="37">
        <f>M7*M9</f>
        <v/>
      </c>
      <c r="N10" s="37">
        <f>N7*N9</f>
        <v/>
      </c>
      <c r="O10" s="37">
        <f>O7*O9</f>
        <v/>
      </c>
    </row>
    <row r="11" ht="14" customHeight="1">
      <c r="B11" s="11" t="inlineStr">
        <is>
          <t xml:space="preserve">  OPERATING EXPENSES -&gt; EBITDA</t>
        </is>
      </c>
      <c r="C11" s="75" t="n"/>
      <c r="D11" s="75" t="n"/>
      <c r="E11" s="75" t="n"/>
      <c r="F11" s="75" t="n"/>
      <c r="G11" s="75" t="n"/>
      <c r="H11" s="75" t="n"/>
      <c r="I11" s="75" t="n"/>
      <c r="J11" s="75" t="n"/>
      <c r="K11" s="75" t="n"/>
      <c r="L11" s="75" t="n"/>
      <c r="M11" s="75" t="n"/>
      <c r="N11" s="75" t="n"/>
      <c r="O11" s="76" t="n"/>
    </row>
    <row r="12" ht="14" customHeight="1">
      <c r="B12" s="19" t="inlineStr">
        <is>
          <t xml:space="preserve">  EBITDA Margin %</t>
        </is>
      </c>
      <c r="C12" s="21" t="n">
        <v>0.327</v>
      </c>
      <c r="D12" s="21" t="n">
        <v>0.33</v>
      </c>
      <c r="E12" s="21" t="n">
        <v>0.335</v>
      </c>
      <c r="F12" s="23">
        <f>Assumptions!E16</f>
        <v/>
      </c>
      <c r="G12" s="23">
        <f>Assumptions!E16</f>
        <v/>
      </c>
      <c r="H12" s="23">
        <f>Assumptions!E16</f>
        <v/>
      </c>
      <c r="I12" s="23">
        <f>Assumptions!E16</f>
        <v/>
      </c>
      <c r="J12" s="23">
        <f>Assumptions!E16</f>
        <v/>
      </c>
      <c r="K12" s="23">
        <f>Assumptions!E16</f>
        <v/>
      </c>
      <c r="L12" s="23">
        <f>Assumptions!E16</f>
        <v/>
      </c>
      <c r="M12" s="23">
        <f>Assumptions!E16</f>
        <v/>
      </c>
      <c r="N12" s="23">
        <f>Assumptions!E16</f>
        <v/>
      </c>
      <c r="O12" s="23">
        <f>Assumptions!E16</f>
        <v/>
      </c>
    </row>
    <row r="13" ht="18" customHeight="1">
      <c r="B13" s="24" t="inlineStr">
        <is>
          <t xml:space="preserve">  EBITDA</t>
        </is>
      </c>
      <c r="C13" s="37">
        <f>C7*C12</f>
        <v/>
      </c>
      <c r="D13" s="37">
        <f>D7*D12</f>
        <v/>
      </c>
      <c r="E13" s="37">
        <f>E7*E12</f>
        <v/>
      </c>
      <c r="F13" s="37">
        <f>F7*F12</f>
        <v/>
      </c>
      <c r="G13" s="37">
        <f>G7*G12</f>
        <v/>
      </c>
      <c r="H13" s="37">
        <f>H7*H12</f>
        <v/>
      </c>
      <c r="I13" s="37">
        <f>I7*I12</f>
        <v/>
      </c>
      <c r="J13" s="37">
        <f>J7*J12</f>
        <v/>
      </c>
      <c r="K13" s="37">
        <f>K7*K12</f>
        <v/>
      </c>
      <c r="L13" s="37">
        <f>L7*L12</f>
        <v/>
      </c>
      <c r="M13" s="37">
        <f>M7*M12</f>
        <v/>
      </c>
      <c r="N13" s="37">
        <f>N7*N12</f>
        <v/>
      </c>
      <c r="O13" s="37">
        <f>O7*O12</f>
        <v/>
      </c>
    </row>
    <row r="14" ht="14" customHeight="1">
      <c r="B14" s="19" t="inlineStr">
        <is>
          <t xml:space="preserve">  OpEx (= Gross Profit - EBITDA)</t>
        </is>
      </c>
      <c r="C14" s="15">
        <f>C10-C13</f>
        <v/>
      </c>
      <c r="D14" s="15">
        <f>D10-D13</f>
        <v/>
      </c>
      <c r="E14" s="15">
        <f>E10-E13</f>
        <v/>
      </c>
      <c r="F14" s="15">
        <f>F10-F13</f>
        <v/>
      </c>
      <c r="G14" s="15">
        <f>G10-G13</f>
        <v/>
      </c>
      <c r="H14" s="15">
        <f>H10-H13</f>
        <v/>
      </c>
      <c r="I14" s="15">
        <f>I10-I13</f>
        <v/>
      </c>
      <c r="J14" s="15">
        <f>J10-J13</f>
        <v/>
      </c>
      <c r="K14" s="15">
        <f>K10-K13</f>
        <v/>
      </c>
      <c r="L14" s="15">
        <f>L10-L13</f>
        <v/>
      </c>
      <c r="M14" s="15">
        <f>M10-M13</f>
        <v/>
      </c>
      <c r="N14" s="15">
        <f>N10-N13</f>
        <v/>
      </c>
      <c r="O14" s="15">
        <f>O10-O13</f>
        <v/>
      </c>
    </row>
    <row r="15" ht="14" customHeight="1">
      <c r="B15" s="11" t="inlineStr">
        <is>
          <t xml:space="preserve">  D&amp;A  -&gt;  EBIT</t>
        </is>
      </c>
      <c r="C15" s="75" t="n"/>
      <c r="D15" s="75" t="n"/>
      <c r="E15" s="75" t="n"/>
      <c r="F15" s="75" t="n"/>
      <c r="G15" s="75" t="n"/>
      <c r="H15" s="75" t="n"/>
      <c r="I15" s="75" t="n"/>
      <c r="J15" s="75" t="n"/>
      <c r="K15" s="75" t="n"/>
      <c r="L15" s="75" t="n"/>
      <c r="M15" s="75" t="n"/>
      <c r="N15" s="75" t="n"/>
      <c r="O15" s="76" t="n"/>
    </row>
    <row r="16" ht="14" customHeight="1">
      <c r="B16" s="19" t="inlineStr">
        <is>
          <t xml:space="preserve">  D&amp;A % of Revenue</t>
        </is>
      </c>
      <c r="C16" s="21" t="n">
        <v>0.025</v>
      </c>
      <c r="D16" s="21" t="n">
        <v>0.025</v>
      </c>
      <c r="E16" s="21" t="n">
        <v>0.025</v>
      </c>
      <c r="F16" s="23">
        <f>Assumptions!C17</f>
        <v/>
      </c>
      <c r="G16" s="23">
        <f>Assumptions!C17</f>
        <v/>
      </c>
      <c r="H16" s="23">
        <f>Assumptions!C17</f>
        <v/>
      </c>
      <c r="I16" s="23">
        <f>Assumptions!C17</f>
        <v/>
      </c>
      <c r="J16" s="23">
        <f>Assumptions!C17</f>
        <v/>
      </c>
      <c r="K16" s="23">
        <f>Assumptions!C17</f>
        <v/>
      </c>
      <c r="L16" s="23">
        <f>Assumptions!C17</f>
        <v/>
      </c>
      <c r="M16" s="23">
        <f>Assumptions!C17</f>
        <v/>
      </c>
      <c r="N16" s="23">
        <f>Assumptions!C17</f>
        <v/>
      </c>
      <c r="O16" s="23">
        <f>Assumptions!C17</f>
        <v/>
      </c>
    </row>
    <row r="17" ht="14" customHeight="1">
      <c r="B17" s="19" t="inlineStr">
        <is>
          <t xml:space="preserve">  D&amp;A ($M)</t>
        </is>
      </c>
      <c r="C17" s="15">
        <f>C16*C7</f>
        <v/>
      </c>
      <c r="D17" s="15">
        <f>D16*D7</f>
        <v/>
      </c>
      <c r="E17" s="15">
        <f>E16*E7</f>
        <v/>
      </c>
      <c r="F17" s="15">
        <f>F16*F7</f>
        <v/>
      </c>
      <c r="G17" s="15">
        <f>G16*G7</f>
        <v/>
      </c>
      <c r="H17" s="15">
        <f>H16*H7</f>
        <v/>
      </c>
      <c r="I17" s="15">
        <f>I16*I7</f>
        <v/>
      </c>
      <c r="J17" s="15">
        <f>J16*J7</f>
        <v/>
      </c>
      <c r="K17" s="15">
        <f>K16*K7</f>
        <v/>
      </c>
      <c r="L17" s="15">
        <f>L16*L7</f>
        <v/>
      </c>
      <c r="M17" s="15">
        <f>M16*M7</f>
        <v/>
      </c>
      <c r="N17" s="15">
        <f>N16*N7</f>
        <v/>
      </c>
      <c r="O17" s="15">
        <f>O16*O7</f>
        <v/>
      </c>
    </row>
    <row r="18" ht="18" customHeight="1">
      <c r="B18" s="24" t="inlineStr">
        <is>
          <t xml:space="preserve">  EBIT (Operating Income)</t>
        </is>
      </c>
      <c r="C18" s="37">
        <f>C13-C17</f>
        <v/>
      </c>
      <c r="D18" s="37">
        <f>D13-D17</f>
        <v/>
      </c>
      <c r="E18" s="37">
        <f>E13-E17</f>
        <v/>
      </c>
      <c r="F18" s="37">
        <f>F13-F17</f>
        <v/>
      </c>
      <c r="G18" s="37">
        <f>G13-G17</f>
        <v/>
      </c>
      <c r="H18" s="37">
        <f>H13-H17</f>
        <v/>
      </c>
      <c r="I18" s="37">
        <f>I13-I17</f>
        <v/>
      </c>
      <c r="J18" s="37">
        <f>J13-J17</f>
        <v/>
      </c>
      <c r="K18" s="37">
        <f>K13-K17</f>
        <v/>
      </c>
      <c r="L18" s="37">
        <f>L13-L17</f>
        <v/>
      </c>
      <c r="M18" s="37">
        <f>M13-M17</f>
        <v/>
      </c>
      <c r="N18" s="37">
        <f>N13-N17</f>
        <v/>
      </c>
      <c r="O18" s="37">
        <f>O13-O17</f>
        <v/>
      </c>
    </row>
    <row r="19" ht="14" customHeight="1">
      <c r="B19" s="19" t="inlineStr">
        <is>
          <t xml:space="preserve">  EBIT Margin %</t>
        </is>
      </c>
      <c r="C19" s="23">
        <f>IF(C7=0,0,C18/C7)</f>
        <v/>
      </c>
      <c r="D19" s="23">
        <f>IF(D7=0,0,D18/D7)</f>
        <v/>
      </c>
      <c r="E19" s="23">
        <f>IF(E7=0,0,E18/E7)</f>
        <v/>
      </c>
      <c r="F19" s="23">
        <f>IF(F7=0,0,F18/F7)</f>
        <v/>
      </c>
      <c r="G19" s="23">
        <f>IF(G7=0,0,G18/G7)</f>
        <v/>
      </c>
      <c r="H19" s="23">
        <f>IF(H7=0,0,H18/H7)</f>
        <v/>
      </c>
      <c r="I19" s="23">
        <f>IF(I7=0,0,I18/I7)</f>
        <v/>
      </c>
      <c r="J19" s="23">
        <f>IF(J7=0,0,J18/J7)</f>
        <v/>
      </c>
      <c r="K19" s="23">
        <f>IF(K7=0,0,K18/K7)</f>
        <v/>
      </c>
      <c r="L19" s="23">
        <f>IF(L7=0,0,L18/L7)</f>
        <v/>
      </c>
      <c r="M19" s="23">
        <f>IF(M7=0,0,M18/M7)</f>
        <v/>
      </c>
      <c r="N19" s="23">
        <f>IF(N7=0,0,N18/N7)</f>
        <v/>
      </c>
      <c r="O19" s="23">
        <f>IF(O7=0,0,O18/O7)</f>
        <v/>
      </c>
    </row>
    <row r="20" ht="14" customHeight="1">
      <c r="B20" s="11" t="inlineStr">
        <is>
          <t xml:space="preserve">  NOPAT  (Net Operating Profit After Tax)</t>
        </is>
      </c>
      <c r="C20" s="75" t="n"/>
      <c r="D20" s="75" t="n"/>
      <c r="E20" s="75" t="n"/>
      <c r="F20" s="75" t="n"/>
      <c r="G20" s="75" t="n"/>
      <c r="H20" s="75" t="n"/>
      <c r="I20" s="75" t="n"/>
      <c r="J20" s="75" t="n"/>
      <c r="K20" s="75" t="n"/>
      <c r="L20" s="75" t="n"/>
      <c r="M20" s="75" t="n"/>
      <c r="N20" s="75" t="n"/>
      <c r="O20" s="76" t="n"/>
    </row>
    <row r="21" ht="14" customHeight="1">
      <c r="B21" s="19" t="inlineStr">
        <is>
          <t xml:space="preserve">  Tax Rate %</t>
        </is>
      </c>
      <c r="C21" s="21" t="n">
        <v>0.14</v>
      </c>
      <c r="D21" s="21" t="n">
        <v>0.148</v>
      </c>
      <c r="E21" s="21" t="n">
        <v>0.155</v>
      </c>
      <c r="F21" s="23">
        <f>Assumptions!E18</f>
        <v/>
      </c>
      <c r="G21" s="23">
        <f>Assumptions!E18</f>
        <v/>
      </c>
      <c r="H21" s="23">
        <f>Assumptions!E18</f>
        <v/>
      </c>
      <c r="I21" s="23">
        <f>Assumptions!E18</f>
        <v/>
      </c>
      <c r="J21" s="23">
        <f>Assumptions!E18</f>
        <v/>
      </c>
      <c r="K21" s="23">
        <f>Assumptions!E18</f>
        <v/>
      </c>
      <c r="L21" s="23">
        <f>Assumptions!E18</f>
        <v/>
      </c>
      <c r="M21" s="23">
        <f>Assumptions!E18</f>
        <v/>
      </c>
      <c r="N21" s="23">
        <f>Assumptions!E18</f>
        <v/>
      </c>
      <c r="O21" s="23">
        <f>Assumptions!E18</f>
        <v/>
      </c>
    </row>
    <row r="22" ht="18" customHeight="1">
      <c r="B22" s="24" t="inlineStr">
        <is>
          <t xml:space="preserve">  NOPAT = EBIT x (1 - Tax Rate)</t>
        </is>
      </c>
      <c r="C22" s="37">
        <f>C18*(1-C21)</f>
        <v/>
      </c>
      <c r="D22" s="37">
        <f>D18*(1-D21)</f>
        <v/>
      </c>
      <c r="E22" s="37">
        <f>E18*(1-E21)</f>
        <v/>
      </c>
      <c r="F22" s="37">
        <f>F18*(1-F21)</f>
        <v/>
      </c>
      <c r="G22" s="37">
        <f>G18*(1-G21)</f>
        <v/>
      </c>
      <c r="H22" s="37">
        <f>H18*(1-H21)</f>
        <v/>
      </c>
      <c r="I22" s="37">
        <f>I18*(1-I21)</f>
        <v/>
      </c>
      <c r="J22" s="37">
        <f>J18*(1-J21)</f>
        <v/>
      </c>
      <c r="K22" s="37">
        <f>K18*(1-K21)</f>
        <v/>
      </c>
      <c r="L22" s="37">
        <f>L18*(1-L21)</f>
        <v/>
      </c>
      <c r="M22" s="37">
        <f>M18*(1-M21)</f>
        <v/>
      </c>
      <c r="N22" s="37">
        <f>N18*(1-N21)</f>
        <v/>
      </c>
      <c r="O22" s="37">
        <f>O18*(1-O21)</f>
        <v/>
      </c>
    </row>
    <row r="23" ht="14" customHeight="1">
      <c r="B23" s="11" t="inlineStr">
        <is>
          <t xml:space="preserve">  FREE CASH FLOW TO FIRM (FCFF)</t>
        </is>
      </c>
      <c r="C23" s="75" t="n"/>
      <c r="D23" s="75" t="n"/>
      <c r="E23" s="75" t="n"/>
      <c r="F23" s="75" t="n"/>
      <c r="G23" s="75" t="n"/>
      <c r="H23" s="75" t="n"/>
      <c r="I23" s="75" t="n"/>
      <c r="J23" s="75" t="n"/>
      <c r="K23" s="75" t="n"/>
      <c r="L23" s="75" t="n"/>
      <c r="M23" s="75" t="n"/>
      <c r="N23" s="75" t="n"/>
      <c r="O23" s="76" t="n"/>
    </row>
    <row r="24" ht="14" customHeight="1">
      <c r="B24" s="19" t="inlineStr">
        <is>
          <t xml:space="preserve">  (+) D&amp;A add-back ($M)</t>
        </is>
      </c>
      <c r="C24" s="15">
        <f>C17</f>
        <v/>
      </c>
      <c r="D24" s="15">
        <f>D17</f>
        <v/>
      </c>
      <c r="E24" s="15">
        <f>E17</f>
        <v/>
      </c>
      <c r="F24" s="15">
        <f>F17</f>
        <v/>
      </c>
      <c r="G24" s="15">
        <f>G17</f>
        <v/>
      </c>
      <c r="H24" s="15">
        <f>H17</f>
        <v/>
      </c>
      <c r="I24" s="15">
        <f>I17</f>
        <v/>
      </c>
      <c r="J24" s="15">
        <f>J17</f>
        <v/>
      </c>
      <c r="K24" s="15">
        <f>K17</f>
        <v/>
      </c>
      <c r="L24" s="15">
        <f>L17</f>
        <v/>
      </c>
      <c r="M24" s="15">
        <f>M17</f>
        <v/>
      </c>
      <c r="N24" s="15">
        <f>N17</f>
        <v/>
      </c>
      <c r="O24" s="15">
        <f>O17</f>
        <v/>
      </c>
    </row>
    <row r="25" ht="14" customHeight="1">
      <c r="B25" s="19" t="inlineStr">
        <is>
          <t xml:space="preserve">  (-) CapEx % of Revenue</t>
        </is>
      </c>
      <c r="C25" s="21" t="n">
        <v>0.028</v>
      </c>
      <c r="D25" s="21" t="n">
        <v>0.028</v>
      </c>
      <c r="E25" s="21" t="n">
        <v>0.028</v>
      </c>
      <c r="F25" s="23">
        <f>Assumptions!E17</f>
        <v/>
      </c>
      <c r="G25" s="23">
        <f>Assumptions!E17</f>
        <v/>
      </c>
      <c r="H25" s="23">
        <f>Assumptions!E17</f>
        <v/>
      </c>
      <c r="I25" s="23">
        <f>Assumptions!E17</f>
        <v/>
      </c>
      <c r="J25" s="23">
        <f>Assumptions!E17</f>
        <v/>
      </c>
      <c r="K25" s="23">
        <f>Assumptions!E17</f>
        <v/>
      </c>
      <c r="L25" s="23">
        <f>Assumptions!E17</f>
        <v/>
      </c>
      <c r="M25" s="23">
        <f>Assumptions!E17</f>
        <v/>
      </c>
      <c r="N25" s="23">
        <f>Assumptions!E17</f>
        <v/>
      </c>
      <c r="O25" s="23">
        <f>Assumptions!E17</f>
        <v/>
      </c>
    </row>
    <row r="26" ht="14" customHeight="1">
      <c r="B26" s="19" t="inlineStr">
        <is>
          <t xml:space="preserve">  (-) CapEx ($M)</t>
        </is>
      </c>
      <c r="C26" s="15">
        <f>C25*C7</f>
        <v/>
      </c>
      <c r="D26" s="15">
        <f>D25*D7</f>
        <v/>
      </c>
      <c r="E26" s="15">
        <f>E25*E7</f>
        <v/>
      </c>
      <c r="F26" s="15">
        <f>F25*F7</f>
        <v/>
      </c>
      <c r="G26" s="15">
        <f>G25*G7</f>
        <v/>
      </c>
      <c r="H26" s="15">
        <f>H25*H7</f>
        <v/>
      </c>
      <c r="I26" s="15">
        <f>I25*I7</f>
        <v/>
      </c>
      <c r="J26" s="15">
        <f>J25*J7</f>
        <v/>
      </c>
      <c r="K26" s="15">
        <f>K25*K7</f>
        <v/>
      </c>
      <c r="L26" s="15">
        <f>L25*L7</f>
        <v/>
      </c>
      <c r="M26" s="15">
        <f>M25*M7</f>
        <v/>
      </c>
      <c r="N26" s="15">
        <f>N25*N7</f>
        <v/>
      </c>
      <c r="O26" s="15">
        <f>O25*O7</f>
        <v/>
      </c>
    </row>
    <row r="27" ht="14" customHeight="1">
      <c r="B27" s="19" t="inlineStr">
        <is>
          <t xml:space="preserve">  (+/-) Change in Net Working Capital ($M)</t>
        </is>
      </c>
      <c r="C27" s="13" t="n">
        <v>-3200</v>
      </c>
      <c r="D27" s="13" t="n">
        <v>-3800</v>
      </c>
      <c r="E27" s="15">
        <f>-Assumptions!C18*(E7-D7)</f>
        <v/>
      </c>
      <c r="F27" s="15">
        <f>-(Assumptions!C18*F7-Assumptions!C18*E7)</f>
        <v/>
      </c>
      <c r="G27" s="15">
        <f>-(Assumptions!C18*G7-Assumptions!C18*F7)</f>
        <v/>
      </c>
      <c r="H27" s="15">
        <f>-(Assumptions!C18*H7-Assumptions!C18*G7)</f>
        <v/>
      </c>
      <c r="I27" s="15">
        <f>-(Assumptions!C18*I7-Assumptions!C18*H7)</f>
        <v/>
      </c>
      <c r="J27" s="15">
        <f>-(Assumptions!C18*J7-Assumptions!C18*I7)</f>
        <v/>
      </c>
      <c r="K27" s="15">
        <f>-(Assumptions!C18*K7-Assumptions!C18*J7)</f>
        <v/>
      </c>
      <c r="L27" s="15">
        <f>-(Assumptions!C18*L7-Assumptions!C18*K7)</f>
        <v/>
      </c>
      <c r="M27" s="15">
        <f>-(Assumptions!C18*M7-Assumptions!C18*L7)</f>
        <v/>
      </c>
      <c r="N27" s="15">
        <f>-(Assumptions!C18*N7-Assumptions!C18*M7)</f>
        <v/>
      </c>
      <c r="O27" s="15">
        <f>-(Assumptions!C18*O7-Assumptions!C18*N7)</f>
        <v/>
      </c>
    </row>
    <row r="28" ht="14" customHeight="1">
      <c r="B28" s="19" t="inlineStr">
        <is>
          <t xml:space="preserve">  (+) Stock-Based Comp ($M)</t>
        </is>
      </c>
      <c r="C28" s="13" t="n">
        <v>9200</v>
      </c>
      <c r="D28" s="13" t="n">
        <v>9700</v>
      </c>
      <c r="E28" s="15">
        <f>Assumptions!C19*E7</f>
        <v/>
      </c>
      <c r="F28" s="15">
        <f>Assumptions!C19*F7</f>
        <v/>
      </c>
      <c r="G28" s="15">
        <f>Assumptions!C19*G7</f>
        <v/>
      </c>
      <c r="H28" s="15">
        <f>Assumptions!C19*H7</f>
        <v/>
      </c>
      <c r="I28" s="15">
        <f>Assumptions!C19*I7</f>
        <v/>
      </c>
      <c r="J28" s="15">
        <f>Assumptions!C19*J7</f>
        <v/>
      </c>
      <c r="K28" s="15">
        <f>Assumptions!C19*K7</f>
        <v/>
      </c>
      <c r="L28" s="15">
        <f>Assumptions!C19*L7</f>
        <v/>
      </c>
      <c r="M28" s="15">
        <f>Assumptions!C19*M7</f>
        <v/>
      </c>
      <c r="N28" s="15">
        <f>Assumptions!C19*N7</f>
        <v/>
      </c>
      <c r="O28" s="15">
        <f>Assumptions!C19*O7</f>
        <v/>
      </c>
    </row>
    <row r="29" ht="20" customHeight="1">
      <c r="B29" s="38" t="inlineStr">
        <is>
          <t xml:space="preserve">  FCFF  (Free Cash Flow to Firm)</t>
        </is>
      </c>
      <c r="C29" s="39">
        <f>MAX(0,C22+C24-C26+C27+C28*Assumptions!E31)</f>
        <v/>
      </c>
      <c r="D29" s="39">
        <f>MAX(0,D22+D24-D26+D27+D28*Assumptions!E31)</f>
        <v/>
      </c>
      <c r="E29" s="39">
        <f>MAX(0,E22+E24-E26+E27+E28*Assumptions!E31)</f>
        <v/>
      </c>
      <c r="F29" s="39">
        <f>MAX(0,F22+F24-F26+F27+F28*Assumptions!E31)</f>
        <v/>
      </c>
      <c r="G29" s="39">
        <f>MAX(0,G22+G24-G26+G27+G28*Assumptions!E31)</f>
        <v/>
      </c>
      <c r="H29" s="39">
        <f>MAX(0,H22+H24-H26+H27+H28*Assumptions!E31)</f>
        <v/>
      </c>
      <c r="I29" s="39">
        <f>MAX(0,I22+I24-I26+I27+I28*Assumptions!E31)</f>
        <v/>
      </c>
      <c r="J29" s="39">
        <f>MAX(0,J22+J24-J26+J27+J28*Assumptions!E31)</f>
        <v/>
      </c>
      <c r="K29" s="39">
        <f>MAX(0,K22+K24-K26+K27+K28*Assumptions!E31)</f>
        <v/>
      </c>
      <c r="L29" s="39">
        <f>MAX(0,L22+L24-L26+L27+L28*Assumptions!E31)</f>
        <v/>
      </c>
      <c r="M29" s="39">
        <f>MAX(0,M22+M24-M26+M27+M28*Assumptions!E31)</f>
        <v/>
      </c>
      <c r="N29" s="39">
        <f>MAX(0,N22+N24-N26+N27+N28*Assumptions!E31)</f>
        <v/>
      </c>
      <c r="O29" s="39">
        <f>MAX(0,O22+O24-O26+O27+O28*Assumptions!E31)</f>
        <v/>
      </c>
    </row>
    <row r="30" ht="14" customHeight="1">
      <c r="B30" s="19" t="inlineStr">
        <is>
          <t xml:space="preserve">  FCF Margin %</t>
        </is>
      </c>
      <c r="C30" s="23">
        <f>IF(C7=0,0,C29/C7)</f>
        <v/>
      </c>
      <c r="D30" s="23">
        <f>IF(D7=0,0,D29/D7)</f>
        <v/>
      </c>
      <c r="E30" s="23">
        <f>IF(E7=0,0,E29/E7)</f>
        <v/>
      </c>
      <c r="F30" s="23">
        <f>IF(F7=0,0,F29/F7)</f>
        <v/>
      </c>
      <c r="G30" s="23">
        <f>IF(G7=0,0,G29/G7)</f>
        <v/>
      </c>
      <c r="H30" s="23">
        <f>IF(H7=0,0,H29/H7)</f>
        <v/>
      </c>
      <c r="I30" s="23">
        <f>IF(I7=0,0,I29/I7)</f>
        <v/>
      </c>
      <c r="J30" s="23">
        <f>IF(J7=0,0,J29/J7)</f>
        <v/>
      </c>
      <c r="K30" s="23">
        <f>IF(K7=0,0,K29/K7)</f>
        <v/>
      </c>
      <c r="L30" s="23">
        <f>IF(L7=0,0,L29/L7)</f>
        <v/>
      </c>
      <c r="M30" s="23">
        <f>IF(M7=0,0,M29/M7)</f>
        <v/>
      </c>
      <c r="N30" s="23">
        <f>IF(N7=0,0,N29/N7)</f>
        <v/>
      </c>
      <c r="O30" s="23">
        <f>IF(O7=0,0,O29/O7)</f>
        <v/>
      </c>
    </row>
    <row r="32" ht="16" customHeight="1">
      <c r="B32" s="11" t="inlineStr">
        <is>
          <t xml:space="preserve">  10-YEAR FCF PROJECTION (from model above)</t>
        </is>
      </c>
      <c r="C32" s="75" t="n"/>
      <c r="D32" s="75" t="n"/>
      <c r="E32" s="75" t="n"/>
      <c r="F32" s="75" t="n"/>
      <c r="G32" s="75" t="n"/>
      <c r="H32" s="75" t="n"/>
      <c r="I32" s="75" t="n"/>
      <c r="J32" s="75" t="n"/>
      <c r="K32" s="75" t="n"/>
      <c r="L32" s="75" t="n"/>
      <c r="M32" s="75" t="n"/>
      <c r="N32" s="75" t="n"/>
      <c r="O32" s="76" t="n"/>
    </row>
  </sheetData>
  <mergeCells count="10">
    <mergeCell ref="B1:O1"/>
    <mergeCell ref="B8:O8"/>
    <mergeCell ref="B15:O15"/>
    <mergeCell ref="B11:O11"/>
    <mergeCell ref="C3:E3"/>
    <mergeCell ref="B5:O5"/>
    <mergeCell ref="F3:O3"/>
    <mergeCell ref="B20:O20"/>
    <mergeCell ref="B23:O23"/>
    <mergeCell ref="B32:O3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006100"/>
    <outlinePr summaryBelow="1" summaryRight="1"/>
    <pageSetUpPr/>
  </sheetPr>
  <dimension ref="B1:E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8" customWidth="1" min="3" max="3"/>
    <col width="40" customWidth="1" min="4" max="4"/>
    <col width="18" customWidth="1" min="5" max="5"/>
  </cols>
  <sheetData>
    <row r="1" ht="26" customHeight="1">
      <c r="B1" s="20" t="inlineStr">
        <is>
          <t>WACC  -  Weighted Average Cost of Capital</t>
        </is>
      </c>
    </row>
    <row r="2" ht="13" customHeight="1">
      <c r="B2" s="7" t="inlineStr">
        <is>
          <t xml:space="preserve">  WACC = Ke x We  +  Kd x (1-t) x Wd    |    Sources: Assumptions sheet</t>
        </is>
      </c>
    </row>
    <row r="4" ht="16" customHeight="1">
      <c r="B4" s="11" t="inlineStr">
        <is>
          <t xml:space="preserve">  COST OF EQUITY  -  CAPM:  Ke = Rf + Beta x ERP  (Hamada re-levering)</t>
        </is>
      </c>
      <c r="C4" s="75" t="n"/>
      <c r="D4" s="75" t="n"/>
      <c r="E4" s="76" t="n"/>
    </row>
    <row r="5" ht="17" customHeight="1">
      <c r="B5" s="18" t="inlineStr">
        <is>
          <t xml:space="preserve">  Risk-Free Rate (Rf)</t>
        </is>
      </c>
      <c r="C5" s="23">
        <f>Assumptions!C21</f>
        <v/>
      </c>
      <c r="D5" s="18" t="inlineStr">
        <is>
          <t xml:space="preserve">  Equity Risk Premium</t>
        </is>
      </c>
      <c r="E5" s="23">
        <f>Assumptions!E21</f>
        <v/>
      </c>
    </row>
    <row r="6" ht="17" customHeight="1">
      <c r="B6" s="18" t="inlineStr">
        <is>
          <t xml:space="preserve">  Beta (Levered, from market data)</t>
        </is>
      </c>
      <c r="C6" s="40">
        <f>Assumptions!C22</f>
        <v/>
      </c>
    </row>
    <row r="7" ht="17" customHeight="1">
      <c r="B7" s="18" t="inlineStr">
        <is>
          <t xml:space="preserve">  Unlevered Beta  [Hamada: Beta_L / (1+(1-t)×Wd/We)]</t>
        </is>
      </c>
      <c r="C7" s="41">
        <f>Assumptions!C22/(1+(1-Assumptions!E18)*Assumptions!C23/Assumptions!E23)</f>
        <v/>
      </c>
      <c r="D7" s="19" t="inlineStr">
        <is>
          <t xml:space="preserve">  Re-levered Beta  [Beta_U × (1+(1-t)×Wd/We)]</t>
        </is>
      </c>
      <c r="E7" s="41">
        <f>C7*(1+(1-Assumptions!E18)*Assumptions!C23/Assumptions!E23)</f>
        <v/>
      </c>
    </row>
    <row r="8" ht="20" customHeight="1">
      <c r="B8" s="42" t="inlineStr">
        <is>
          <t xml:space="preserve">  COST OF EQUITY (Ke)</t>
        </is>
      </c>
      <c r="C8" s="75" t="n"/>
      <c r="D8" s="76" t="n"/>
      <c r="E8" s="43">
        <f>Assumptions!C21+E7*Assumptions!E21</f>
        <v/>
      </c>
    </row>
    <row r="9" ht="16" customHeight="1">
      <c r="B9" s="11" t="inlineStr">
        <is>
          <t xml:space="preserve">  COST OF DEBT  -  After Tax:  Kd_at = Kd x (1 - Tax Rate)</t>
        </is>
      </c>
      <c r="C9" s="75" t="n"/>
      <c r="D9" s="75" t="n"/>
      <c r="E9" s="76" t="n"/>
    </row>
    <row r="10" ht="17" customHeight="1">
      <c r="B10" s="18" t="inlineStr">
        <is>
          <t xml:space="preserve">  Pre-Tax Cost of Debt (Kd)</t>
        </is>
      </c>
      <c r="C10" s="23">
        <f>Assumptions!E22</f>
        <v/>
      </c>
      <c r="D10" s="18" t="inlineStr">
        <is>
          <t xml:space="preserve">  Tax Rate</t>
        </is>
      </c>
      <c r="E10" s="23">
        <f>Assumptions!E18</f>
        <v/>
      </c>
    </row>
    <row r="11" ht="20" customHeight="1">
      <c r="B11" s="42" t="inlineStr">
        <is>
          <t xml:space="preserve">  AFTER-TAX COST OF DEBT (Kd)</t>
        </is>
      </c>
      <c r="C11" s="75" t="n"/>
      <c r="D11" s="76" t="n"/>
      <c r="E11" s="43">
        <f>C10*(1-E10)</f>
        <v/>
      </c>
    </row>
    <row r="12" ht="16" customHeight="1">
      <c r="B12" s="11" t="inlineStr">
        <is>
          <t xml:space="preserve">  CAPITAL STRUCTURE WEIGHTS</t>
        </is>
      </c>
      <c r="C12" s="75" t="n"/>
      <c r="D12" s="75" t="n"/>
      <c r="E12" s="76" t="n"/>
    </row>
    <row r="13" ht="17" customHeight="1">
      <c r="B13" s="18" t="inlineStr">
        <is>
          <t xml:space="preserve">  Equity / Capital (We)</t>
        </is>
      </c>
      <c r="C13" s="23">
        <f>Assumptions!E23</f>
        <v/>
      </c>
      <c r="D13" s="18" t="inlineStr">
        <is>
          <t xml:space="preserve">  Debt / Capital (Wd)</t>
        </is>
      </c>
      <c r="E13" s="23">
        <f>Assumptions!C23</f>
        <v/>
      </c>
    </row>
    <row r="14" ht="15" customHeight="1">
      <c r="B14" s="19" t="inlineStr">
        <is>
          <t xml:space="preserve">  Check: We + Wd should = 1.0</t>
        </is>
      </c>
      <c r="C14" s="23">
        <f>C13+E13</f>
        <v/>
      </c>
      <c r="D14" s="19" t="inlineStr">
        <is>
          <t xml:space="preserve">  Status:</t>
        </is>
      </c>
      <c r="E14" s="44">
        <f>IF(ABS(C13+E13-1)&lt;0.001,"OK - sums to 100%","CHECK WEIGHTS")</f>
        <v/>
      </c>
    </row>
    <row r="15" ht="16" customHeight="1">
      <c r="B15" s="11" t="inlineStr">
        <is>
          <t xml:space="preserve">  WACC CALCULATION</t>
        </is>
      </c>
      <c r="C15" s="75" t="n"/>
      <c r="D15" s="75" t="n"/>
      <c r="E15" s="76" t="n"/>
    </row>
    <row r="16" ht="17" customHeight="1">
      <c r="B16" s="18" t="inlineStr">
        <is>
          <t xml:space="preserve">  Ke x We  (equity component)</t>
        </is>
      </c>
      <c r="C16" s="23">
        <f>WACC!E8*C13</f>
        <v/>
      </c>
      <c r="D16" s="18" t="inlineStr">
        <is>
          <t xml:space="preserve">  Kd(1-t) x Wd  (debt component)</t>
        </is>
      </c>
      <c r="E16" s="23">
        <f>WACC!E11*E13</f>
        <v/>
      </c>
    </row>
    <row r="17" ht="24" customHeight="1">
      <c r="B17" s="45" t="inlineStr">
        <is>
          <t xml:space="preserve">  WACC  =  Ke x We  +  Kd(1-t) x Wd</t>
        </is>
      </c>
      <c r="C17" s="75" t="n"/>
      <c r="D17" s="76" t="n"/>
      <c r="E17" s="46">
        <f>C16+E16</f>
        <v/>
      </c>
    </row>
    <row r="19">
      <c r="B19" s="47" t="inlineStr">
        <is>
          <t>Note: WACC above flows into DCF Valuation sheet automatically. Sensitivity analysis spans +/-150bps in the Sensitivity sheet.</t>
        </is>
      </c>
    </row>
  </sheetData>
  <mergeCells count="10">
    <mergeCell ref="B11:D11"/>
    <mergeCell ref="B9:E9"/>
    <mergeCell ref="B1:E1"/>
    <mergeCell ref="B4:E4"/>
    <mergeCell ref="B12:E12"/>
    <mergeCell ref="B8:D8"/>
    <mergeCell ref="B17:D17"/>
    <mergeCell ref="B15:E15"/>
    <mergeCell ref="B2:E2"/>
    <mergeCell ref="B19:E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B2A4A"/>
    <outlinePr summaryBelow="1" summaryRight="1"/>
    <pageSetUpPr/>
  </sheetPr>
  <dimension ref="B1:L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" customWidth="1" min="13" max="13"/>
    <col width="1" customWidth="1" min="14" max="14"/>
    <col width="1" customWidth="1" min="15" max="15"/>
  </cols>
  <sheetData>
    <row r="1" ht="26" customHeight="1">
      <c r="B1" s="20" t="inlineStr">
        <is>
          <t>DCF VALUATION  -  Enterprise &amp; Equity Value Bridge</t>
        </is>
      </c>
    </row>
    <row r="3" ht="16" customHeight="1">
      <c r="B3" s="11" t="inlineStr">
        <is>
          <t xml:space="preserve">  DISCOUNT RATE &amp; KEY INPUTS</t>
        </is>
      </c>
      <c r="C3" s="75" t="n"/>
      <c r="D3" s="75" t="n"/>
      <c r="E3" s="76" t="n"/>
    </row>
    <row r="4" ht="17" customHeight="1">
      <c r="B4" s="18" t="inlineStr">
        <is>
          <t xml:space="preserve">  WACC</t>
        </is>
      </c>
      <c r="C4" s="23">
        <f>WACC!E17</f>
        <v/>
      </c>
      <c r="D4" s="48" t="inlineStr">
        <is>
          <t xml:space="preserve">  Ke×We + Kd(1-t)×Wd  —  from WACC sheet</t>
        </is>
      </c>
      <c r="E4" s="76" t="n"/>
    </row>
    <row r="5" ht="17" customHeight="1">
      <c r="B5" s="18" t="inlineStr">
        <is>
          <t xml:space="preserve">  Terminal Growth Rate (g)</t>
        </is>
      </c>
      <c r="C5" s="23">
        <f>Assumptions!C26</f>
        <v/>
      </c>
      <c r="D5" s="48" t="inlineStr">
        <is>
          <t xml:space="preserve">  Long-run FCF growth after Year 10  —  Assumptions</t>
        </is>
      </c>
      <c r="E5" s="76" t="n"/>
    </row>
    <row r="6" ht="17" customHeight="1">
      <c r="B6" s="18" t="inlineStr">
        <is>
          <t xml:space="preserve">  Exit EBITDA Multiple</t>
        </is>
      </c>
      <c r="C6" s="49">
        <f>Assumptions!E26</f>
        <v/>
      </c>
      <c r="D6" s="48" t="inlineStr">
        <is>
          <t xml:space="preserve">  Reference only; Gordon Growth is primary TV method</t>
        </is>
      </c>
      <c r="E6" s="76" t="n"/>
    </row>
    <row r="7" ht="17" customHeight="1">
      <c r="B7" s="18" t="inlineStr">
        <is>
          <t xml:space="preserve">  Net Debt ($M)</t>
        </is>
      </c>
      <c r="C7" s="15">
        <f>Assumptions!C8-Assumptions!E8</f>
        <v/>
      </c>
      <c r="D7" s="48" t="inlineStr">
        <is>
          <t xml:space="preserve">  Total Debt minus Cash  —  from Assumptions</t>
        </is>
      </c>
      <c r="E7" s="76" t="n"/>
    </row>
    <row r="8" ht="17" customHeight="1">
      <c r="B8" s="18" t="inlineStr">
        <is>
          <t xml:space="preserve">  Shares Outstanding (M)</t>
        </is>
      </c>
      <c r="C8" s="15">
        <f>Assumptions!E7</f>
        <v/>
      </c>
      <c r="D8" s="48" t="inlineStr">
        <is>
          <t xml:space="preserve">  Diluted share count  —  from Assumptions</t>
        </is>
      </c>
      <c r="E8" s="76" t="n"/>
    </row>
    <row r="9" ht="16" customHeight="1">
      <c r="B9" s="11" t="inlineStr">
        <is>
          <t xml:space="preserve">  PROJECTED FCF BY YEAR  (from Income Statement)</t>
        </is>
      </c>
      <c r="C9" s="75" t="n"/>
      <c r="D9" s="75" t="n"/>
      <c r="E9" s="76" t="n"/>
    </row>
    <row r="10" ht="14" customHeight="1">
      <c r="B10" s="18" t="inlineStr">
        <is>
          <t xml:space="preserve">  Year</t>
        </is>
      </c>
      <c r="C10" s="50" t="inlineStr">
        <is>
          <t>FY2027</t>
        </is>
      </c>
      <c r="D10" s="50" t="inlineStr">
        <is>
          <t>FY2028</t>
        </is>
      </c>
      <c r="E10" s="50" t="inlineStr">
        <is>
          <t>FY2029</t>
        </is>
      </c>
      <c r="F10" s="50" t="inlineStr">
        <is>
          <t>FY2030</t>
        </is>
      </c>
      <c r="G10" s="50" t="inlineStr">
        <is>
          <t>FY2031</t>
        </is>
      </c>
      <c r="H10" s="50" t="inlineStr">
        <is>
          <t>FY2032</t>
        </is>
      </c>
      <c r="I10" s="50" t="inlineStr">
        <is>
          <t>FY2033</t>
        </is>
      </c>
      <c r="J10" s="50" t="inlineStr">
        <is>
          <t>FY2034</t>
        </is>
      </c>
      <c r="K10" s="50" t="inlineStr">
        <is>
          <t>FY2035</t>
        </is>
      </c>
      <c r="L10" s="50" t="inlineStr">
        <is>
          <t>FY2036</t>
        </is>
      </c>
    </row>
    <row r="11" ht="17" customHeight="1">
      <c r="B11" s="24" t="inlineStr">
        <is>
          <t xml:space="preserve">  FCFF ($M)</t>
        </is>
      </c>
      <c r="C11" s="37">
        <f>'Income Statement'!F29</f>
        <v/>
      </c>
      <c r="D11" s="37">
        <f>'Income Statement'!G29</f>
        <v/>
      </c>
      <c r="E11" s="37">
        <f>'Income Statement'!H29</f>
        <v/>
      </c>
      <c r="F11" s="37">
        <f>'Income Statement'!I29</f>
        <v/>
      </c>
      <c r="G11" s="37">
        <f>'Income Statement'!J29</f>
        <v/>
      </c>
      <c r="H11" s="37">
        <f>'Income Statement'!K29</f>
        <v/>
      </c>
      <c r="I11" s="37">
        <f>'Income Statement'!L29</f>
        <v/>
      </c>
      <c r="J11" s="37">
        <f>'Income Statement'!M29</f>
        <v/>
      </c>
      <c r="K11" s="37">
        <f>'Income Statement'!N29</f>
        <v/>
      </c>
      <c r="L11" s="37">
        <f>'Income Statement'!O29</f>
        <v/>
      </c>
    </row>
    <row r="12" ht="14" customHeight="1">
      <c r="B12" s="18" t="inlineStr">
        <is>
          <t xml:space="preserve">  Discount Period (t)</t>
        </is>
      </c>
      <c r="C12" s="49" t="n">
        <v>1</v>
      </c>
      <c r="D12" s="49" t="n">
        <v>2</v>
      </c>
      <c r="E12" s="49" t="n">
        <v>3</v>
      </c>
      <c r="F12" s="49" t="n">
        <v>4</v>
      </c>
      <c r="G12" s="49" t="n">
        <v>5</v>
      </c>
      <c r="H12" s="49" t="n">
        <v>6</v>
      </c>
      <c r="I12" s="49" t="n">
        <v>7</v>
      </c>
      <c r="J12" s="49" t="n">
        <v>8</v>
      </c>
      <c r="K12" s="49" t="n">
        <v>9</v>
      </c>
      <c r="L12" s="49" t="n">
        <v>10</v>
      </c>
    </row>
    <row r="13" ht="14" customHeight="1">
      <c r="B13" s="18" t="inlineStr">
        <is>
          <t xml:space="preserve">  Discount Factor  [1/(1+WACC)^(t − mid-yr offset)]</t>
        </is>
      </c>
      <c r="C13" s="51">
        <f>1/(1+C4)^(C12-Assumptions!C31)</f>
        <v/>
      </c>
      <c r="D13" s="51">
        <f>1/(1+C4)^(D12-Assumptions!C31)</f>
        <v/>
      </c>
      <c r="E13" s="51">
        <f>1/(1+C4)^(E12-Assumptions!C31)</f>
        <v/>
      </c>
      <c r="F13" s="51">
        <f>1/(1+C4)^(F12-Assumptions!C31)</f>
        <v/>
      </c>
      <c r="G13" s="51">
        <f>1/(1+C4)^(G12-Assumptions!C31)</f>
        <v/>
      </c>
      <c r="H13" s="51">
        <f>1/(1+C4)^(H12-Assumptions!C31)</f>
        <v/>
      </c>
      <c r="I13" s="51">
        <f>1/(1+C4)^(I12-Assumptions!C31)</f>
        <v/>
      </c>
      <c r="J13" s="51">
        <f>1/(1+C4)^(J12-Assumptions!C31)</f>
        <v/>
      </c>
      <c r="K13" s="51">
        <f>1/(1+C4)^(K12-Assumptions!C31)</f>
        <v/>
      </c>
      <c r="L13" s="51">
        <f>1/(1+C4)^(L12-Assumptions!C31)</f>
        <v/>
      </c>
    </row>
    <row r="14" ht="17" customHeight="1">
      <c r="B14" s="24" t="inlineStr">
        <is>
          <t xml:space="preserve">  PV of FCFF ($M)</t>
        </is>
      </c>
      <c r="C14" s="37">
        <f>C11*C13</f>
        <v/>
      </c>
      <c r="D14" s="37">
        <f>D11*D13</f>
        <v/>
      </c>
      <c r="E14" s="37">
        <f>E11*E13</f>
        <v/>
      </c>
      <c r="F14" s="37">
        <f>F11*F13</f>
        <v/>
      </c>
      <c r="G14" s="37">
        <f>G11*G13</f>
        <v/>
      </c>
      <c r="H14" s="37">
        <f>H11*H13</f>
        <v/>
      </c>
      <c r="I14" s="37">
        <f>I11*I13</f>
        <v/>
      </c>
      <c r="J14" s="37">
        <f>J11*J13</f>
        <v/>
      </c>
      <c r="K14" s="37">
        <f>K11*K13</f>
        <v/>
      </c>
      <c r="L14" s="37">
        <f>L11*L13</f>
        <v/>
      </c>
    </row>
    <row r="15" ht="17" customHeight="1">
      <c r="B15" s="18" t="inlineStr">
        <is>
          <t xml:space="preserve">  Sum of PV(FCFF), Years 1-10</t>
        </is>
      </c>
      <c r="C15" s="37">
        <f>SUM(C14:L14)</f>
        <v/>
      </c>
    </row>
    <row r="16" ht="16" customHeight="1">
      <c r="B16" s="11" t="inlineStr">
        <is>
          <t xml:space="preserve">  TERMINAL VALUE</t>
        </is>
      </c>
      <c r="C16" s="75" t="n"/>
      <c r="D16" s="75" t="n"/>
      <c r="E16" s="76" t="n"/>
    </row>
    <row r="17" ht="17" customHeight="1">
      <c r="B17" s="18" t="inlineStr">
        <is>
          <t xml:space="preserve">  Gordon Growth TV = FCFF_Y10 * (1+g) / (WACC - g)</t>
        </is>
      </c>
      <c r="C17" s="15">
        <f>L11*(1+C5)/MAX(C4-C5,0.01)</f>
        <v/>
      </c>
      <c r="D17" s="18" t="inlineStr">
        <is>
          <t xml:space="preserve">  PV of TV (Gordon Growth)</t>
        </is>
      </c>
      <c r="E17" s="37">
        <f>C17/(1+C4)^(10-Assumptions!C31)</f>
        <v/>
      </c>
    </row>
    <row r="18" ht="17" customHeight="1">
      <c r="B18" s="18" t="inlineStr">
        <is>
          <t xml:space="preserve">  Exit Multiple TV = EBITDA_Y11 x Multiple  [forward; reference only]</t>
        </is>
      </c>
      <c r="C18" s="15">
        <f>'Income Statement'!O13*(1+C5)*C6</f>
        <v/>
      </c>
      <c r="D18" s="18" t="inlineStr">
        <is>
          <t xml:space="preserve">  PV of TV (Exit Multiple)</t>
        </is>
      </c>
      <c r="E18" s="15">
        <f>C18/(1+C4)^(10-Assumptions!C31)</f>
        <v/>
      </c>
    </row>
    <row r="19" ht="16" customHeight="1">
      <c r="B19" s="11" t="inlineStr">
        <is>
          <t xml:space="preserve">  VALUATION BRIDGE</t>
        </is>
      </c>
      <c r="C19" s="75" t="n"/>
      <c r="D19" s="75" t="n"/>
      <c r="E19" s="76" t="n"/>
    </row>
    <row r="20" ht="17" customHeight="1">
      <c r="B20" s="18" t="inlineStr">
        <is>
          <t xml:space="preserve">  (+) Sum of PV(FCF) - Years 1-10</t>
        </is>
      </c>
      <c r="C20" s="37">
        <f>C15</f>
        <v/>
      </c>
    </row>
    <row r="21" ht="17" customHeight="1">
      <c r="B21" s="24" t="inlineStr">
        <is>
          <t xml:space="preserve">  (+) PV of Terminal Value (Gordon Growth - PRIMARY)</t>
        </is>
      </c>
      <c r="C21" s="37">
        <f>E17</f>
        <v/>
      </c>
    </row>
    <row r="22" ht="22" customHeight="1">
      <c r="B22" s="52" t="inlineStr">
        <is>
          <t xml:space="preserve">  ENTERPRISE VALUE</t>
        </is>
      </c>
      <c r="C22" s="53">
        <f>C20+C21</f>
        <v/>
      </c>
    </row>
    <row r="23" ht="17" customHeight="1">
      <c r="B23" s="18" t="inlineStr">
        <is>
          <t xml:space="preserve">  (-) Net Debt ($M)</t>
        </is>
      </c>
      <c r="C23" s="15">
        <f>C7</f>
        <v/>
      </c>
    </row>
    <row r="24" ht="22" customHeight="1">
      <c r="B24" s="52" t="inlineStr">
        <is>
          <t xml:space="preserve">  EQUITY VALUE</t>
        </is>
      </c>
      <c r="C24" s="53">
        <f>MAX(0,C22-C23)</f>
        <v/>
      </c>
    </row>
    <row r="25" ht="17" customHeight="1">
      <c r="B25" s="18" t="inlineStr">
        <is>
          <t xml:space="preserve">  Shares Outstanding (M)</t>
        </is>
      </c>
      <c r="C25" s="15">
        <f>C8</f>
        <v/>
      </c>
    </row>
    <row r="26" ht="28" customHeight="1">
      <c r="B26" s="54" t="inlineStr">
        <is>
          <t xml:space="preserve">  IMPLIED SHARE PRICE (DCF)</t>
        </is>
      </c>
      <c r="C26" s="55">
        <f>C24/C25</f>
        <v/>
      </c>
    </row>
    <row r="27" ht="17" customHeight="1">
      <c r="B27" s="18" t="inlineStr">
        <is>
          <t xml:space="preserve">  Current Stock Price ($)</t>
        </is>
      </c>
      <c r="C27" s="56">
        <f>Assumptions!C7</f>
        <v/>
      </c>
    </row>
    <row r="28" ht="17" customHeight="1">
      <c r="B28" s="24" t="inlineStr">
        <is>
          <t xml:space="preserve">  Upside / (Downside) %</t>
        </is>
      </c>
      <c r="C28" s="57">
        <f>(C26-C27)/C27</f>
        <v/>
      </c>
    </row>
    <row r="29" ht="16" customHeight="1">
      <c r="B29" s="11" t="inlineStr">
        <is>
          <t xml:space="preserve">  VALUATION COMPOSITION</t>
        </is>
      </c>
      <c r="C29" s="75" t="n"/>
      <c r="D29" s="75" t="n"/>
      <c r="E29" s="76" t="n"/>
    </row>
    <row r="30" ht="17" customHeight="1">
      <c r="B30" s="18" t="inlineStr">
        <is>
          <t xml:space="preserve">  PV of FCFs as % of Enterprise Value</t>
        </is>
      </c>
      <c r="C30" s="58">
        <f>IF(C22=0,0,C20/C22)</f>
        <v/>
      </c>
    </row>
    <row r="31" ht="17" customHeight="1">
      <c r="B31" s="18" t="inlineStr">
        <is>
          <t xml:space="preserve">  PV of Terminal Value as % of Enterprise Value</t>
        </is>
      </c>
      <c r="C31" s="58">
        <f>IF(C22=0,0,C21/C22)</f>
        <v/>
      </c>
    </row>
    <row r="32" ht="17" customHeight="1">
      <c r="B32" s="18" t="inlineStr">
        <is>
          <t xml:space="preserve">  Implied EV / EBITDA Multiple (LTM)</t>
        </is>
      </c>
      <c r="C32" s="49">
        <f>IF('Income Statement'!E13=0,0,C22/'Income Statement'!E13)</f>
        <v/>
      </c>
    </row>
  </sheetData>
  <mergeCells count="11">
    <mergeCell ref="D8:E8"/>
    <mergeCell ref="D6:E6"/>
    <mergeCell ref="B9:E9"/>
    <mergeCell ref="B1:E1"/>
    <mergeCell ref="D7:E7"/>
    <mergeCell ref="D5:E5"/>
    <mergeCell ref="B16:E16"/>
    <mergeCell ref="B29:E29"/>
    <mergeCell ref="D4:E4"/>
    <mergeCell ref="B3:E3"/>
    <mergeCell ref="B19:E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C0006"/>
    <outlinePr summaryBelow="1" summaryRight="1"/>
    <pageSetUpPr/>
  </sheetPr>
  <dimension ref="B1:L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3" customWidth="1" min="3" max="3"/>
    <col width="13" customWidth="1" min="4" max="4"/>
    <col width="13" customWidth="1" min="5" max="5"/>
    <col width="18" customWidth="1" min="6" max="6"/>
    <col width="13" customWidth="1" min="7" max="7"/>
    <col width="13" customWidth="1" min="8" max="8"/>
    <col width="13" customWidth="1" min="9" max="9"/>
  </cols>
  <sheetData>
    <row r="1" ht="26" customHeight="1">
      <c r="B1" s="20" t="inlineStr">
        <is>
          <t>SENSITIVITY ANALYSIS  -  Implied Share Price vs Key Drivers</t>
        </is>
      </c>
    </row>
    <row r="2" ht="13" customHeight="1">
      <c r="B2" s="7" t="inlineStr">
        <is>
          <t xml:space="preserve">  Green = above current stock price (upside)  |  Red = below (downside)  |  Base case uses WACC and TGR from WACC and Assumptions sheets.</t>
        </is>
      </c>
    </row>
    <row r="4" ht="16" customHeight="1">
      <c r="B4" s="59" t="inlineStr">
        <is>
          <t xml:space="preserve">  TABLE 1 - Implied Share Price  vs  WACC  x  Terminal Growth Rate</t>
        </is>
      </c>
      <c r="C4" s="75" t="n"/>
      <c r="D4" s="75" t="n"/>
      <c r="E4" s="75" t="n"/>
      <c r="F4" s="75" t="n"/>
      <c r="G4" s="75" t="n"/>
      <c r="H4" s="75" t="n"/>
      <c r="I4" s="76" t="n"/>
    </row>
    <row r="5" ht="16" customHeight="1">
      <c r="B5" s="60" t="inlineStr">
        <is>
          <t xml:space="preserve">  WACC \ TGR</t>
        </is>
      </c>
      <c r="C5" s="61">
        <f>'DCF Valuation'!C5+(-0.01)</f>
        <v/>
      </c>
      <c r="D5" s="61">
        <f>'DCF Valuation'!C5+(-0.005)</f>
        <v/>
      </c>
      <c r="E5" s="61">
        <f>'DCF Valuation'!C5+(0.0)</f>
        <v/>
      </c>
      <c r="F5" s="61">
        <f>'DCF Valuation'!C5+(0.005)</f>
        <v/>
      </c>
      <c r="G5" s="61">
        <f>'DCF Valuation'!C5+(0.01)</f>
        <v/>
      </c>
      <c r="H5" s="61">
        <f>'DCF Valuation'!C5+(0.015)</f>
        <v/>
      </c>
    </row>
    <row r="6" ht="17" customHeight="1">
      <c r="B6" s="62">
        <f>'DCF Valuation'!C4+(-0.015)</f>
        <v/>
      </c>
      <c r="C6" s="56">
        <f>IFERROR(MAX(0,SUMPRODUCT('Income Statement'!F29:O29,1/(1+B6)^({1,2,3,4,5,6,7,8,9,10}-Assumptions!C31))+'Income Statement'!O29*(1+C5)/MAX(B6-C5,0.01)/(1+B6)^(10-Assumptions!C31)-(Assumptions!C8-Assumptions!E8))/Assumptions!E7,"—")</f>
        <v/>
      </c>
      <c r="D6" s="56">
        <f>IFERROR(MAX(0,SUMPRODUCT('Income Statement'!F29:O29,1/(1+B6)^({1,2,3,4,5,6,7,8,9,10}-Assumptions!C31))+'Income Statement'!O29*(1+D5)/MAX(B6-D5,0.01)/(1+B6)^(10-Assumptions!C31)-(Assumptions!C8-Assumptions!E8))/Assumptions!E7,"—")</f>
        <v/>
      </c>
      <c r="E6" s="56">
        <f>IFERROR(MAX(0,SUMPRODUCT('Income Statement'!F29:O29,1/(1+B6)^({1,2,3,4,5,6,7,8,9,10}-Assumptions!C31))+'Income Statement'!O29*(1+E5)/MAX(B6-E5,0.01)/(1+B6)^(10-Assumptions!C31)-(Assumptions!C8-Assumptions!E8))/Assumptions!E7,"—")</f>
        <v/>
      </c>
      <c r="F6" s="56">
        <f>IFERROR(MAX(0,SUMPRODUCT('Income Statement'!F29:O29,1/(1+B6)^({1,2,3,4,5,6,7,8,9,10}-Assumptions!C31))+'Income Statement'!O29*(1+F5)/MAX(B6-F5,0.01)/(1+B6)^(10-Assumptions!C31)-(Assumptions!C8-Assumptions!E8))/Assumptions!E7,"—")</f>
        <v/>
      </c>
      <c r="G6" s="56">
        <f>IFERROR(MAX(0,SUMPRODUCT('Income Statement'!F29:O29,1/(1+B6)^({1,2,3,4,5,6,7,8,9,10}-Assumptions!C31))+'Income Statement'!O29*(1+G5)/MAX(B6-G5,0.01)/(1+B6)^(10-Assumptions!C31)-(Assumptions!C8-Assumptions!E8))/Assumptions!E7,"—")</f>
        <v/>
      </c>
      <c r="H6" s="56">
        <f>IFERROR(MAX(0,SUMPRODUCT('Income Statement'!F29:O29,1/(1+B6)^({1,2,3,4,5,6,7,8,9,10}-Assumptions!C31))+'Income Statement'!O29*(1+H5)/MAX(B6-H5,0.01)/(1+B6)^(10-Assumptions!C31)-(Assumptions!C8-Assumptions!E8))/Assumptions!E7,"—")</f>
        <v/>
      </c>
    </row>
    <row r="7" ht="17" customHeight="1">
      <c r="B7" s="62">
        <f>'DCF Valuation'!C4+(-0.01)</f>
        <v/>
      </c>
      <c r="C7" s="56">
        <f>IFERROR(MAX(0,SUMPRODUCT('Income Statement'!F29:O29,1/(1+B7)^({1,2,3,4,5,6,7,8,9,10}-Assumptions!C31))+'Income Statement'!O29*(1+C5)/MAX(B7-C5,0.01)/(1+B7)^(10-Assumptions!C31)-(Assumptions!C8-Assumptions!E8))/Assumptions!E7,"—")</f>
        <v/>
      </c>
      <c r="D7" s="56">
        <f>IFERROR(MAX(0,SUMPRODUCT('Income Statement'!F29:O29,1/(1+B7)^({1,2,3,4,5,6,7,8,9,10}-Assumptions!C31))+'Income Statement'!O29*(1+D5)/MAX(B7-D5,0.01)/(1+B7)^(10-Assumptions!C31)-(Assumptions!C8-Assumptions!E8))/Assumptions!E7,"—")</f>
        <v/>
      </c>
      <c r="E7" s="56">
        <f>IFERROR(MAX(0,SUMPRODUCT('Income Statement'!F29:O29,1/(1+B7)^({1,2,3,4,5,6,7,8,9,10}-Assumptions!C31))+'Income Statement'!O29*(1+E5)/MAX(B7-E5,0.01)/(1+B7)^(10-Assumptions!C31)-(Assumptions!C8-Assumptions!E8))/Assumptions!E7,"—")</f>
        <v/>
      </c>
      <c r="F7" s="56">
        <f>IFERROR(MAX(0,SUMPRODUCT('Income Statement'!F29:O29,1/(1+B7)^({1,2,3,4,5,6,7,8,9,10}-Assumptions!C31))+'Income Statement'!O29*(1+F5)/MAX(B7-F5,0.01)/(1+B7)^(10-Assumptions!C31)-(Assumptions!C8-Assumptions!E8))/Assumptions!E7,"—")</f>
        <v/>
      </c>
      <c r="G7" s="56">
        <f>IFERROR(MAX(0,SUMPRODUCT('Income Statement'!F29:O29,1/(1+B7)^({1,2,3,4,5,6,7,8,9,10}-Assumptions!C31))+'Income Statement'!O29*(1+G5)/MAX(B7-G5,0.01)/(1+B7)^(10-Assumptions!C31)-(Assumptions!C8-Assumptions!E8))/Assumptions!E7,"—")</f>
        <v/>
      </c>
      <c r="H7" s="56">
        <f>IFERROR(MAX(0,SUMPRODUCT('Income Statement'!F29:O29,1/(1+B7)^({1,2,3,4,5,6,7,8,9,10}-Assumptions!C31))+'Income Statement'!O29*(1+H5)/MAX(B7-H5,0.01)/(1+B7)^(10-Assumptions!C31)-(Assumptions!C8-Assumptions!E8))/Assumptions!E7,"—")</f>
        <v/>
      </c>
    </row>
    <row r="8" ht="17" customHeight="1">
      <c r="B8" s="62">
        <f>'DCF Valuation'!C4+(-0.005)</f>
        <v/>
      </c>
      <c r="C8" s="56">
        <f>IFERROR(MAX(0,SUMPRODUCT('Income Statement'!F29:O29,1/(1+B8)^({1,2,3,4,5,6,7,8,9,10}-Assumptions!C31))+'Income Statement'!O29*(1+C5)/MAX(B8-C5,0.01)/(1+B8)^(10-Assumptions!C31)-(Assumptions!C8-Assumptions!E8))/Assumptions!E7,"—")</f>
        <v/>
      </c>
      <c r="D8" s="56">
        <f>IFERROR(MAX(0,SUMPRODUCT('Income Statement'!F29:O29,1/(1+B8)^({1,2,3,4,5,6,7,8,9,10}-Assumptions!C31))+'Income Statement'!O29*(1+D5)/MAX(B8-D5,0.01)/(1+B8)^(10-Assumptions!C31)-(Assumptions!C8-Assumptions!E8))/Assumptions!E7,"—")</f>
        <v/>
      </c>
      <c r="E8" s="56">
        <f>IFERROR(MAX(0,SUMPRODUCT('Income Statement'!F29:O29,1/(1+B8)^({1,2,3,4,5,6,7,8,9,10}-Assumptions!C31))+'Income Statement'!O29*(1+E5)/MAX(B8-E5,0.01)/(1+B8)^(10-Assumptions!C31)-(Assumptions!C8-Assumptions!E8))/Assumptions!E7,"—")</f>
        <v/>
      </c>
      <c r="F8" s="56">
        <f>IFERROR(MAX(0,SUMPRODUCT('Income Statement'!F29:O29,1/(1+B8)^({1,2,3,4,5,6,7,8,9,10}-Assumptions!C31))+'Income Statement'!O29*(1+F5)/MAX(B8-F5,0.01)/(1+B8)^(10-Assumptions!C31)-(Assumptions!C8-Assumptions!E8))/Assumptions!E7,"—")</f>
        <v/>
      </c>
      <c r="G8" s="56">
        <f>IFERROR(MAX(0,SUMPRODUCT('Income Statement'!F29:O29,1/(1+B8)^({1,2,3,4,5,6,7,8,9,10}-Assumptions!C31))+'Income Statement'!O29*(1+G5)/MAX(B8-G5,0.01)/(1+B8)^(10-Assumptions!C31)-(Assumptions!C8-Assumptions!E8))/Assumptions!E7,"—")</f>
        <v/>
      </c>
      <c r="H8" s="56">
        <f>IFERROR(MAX(0,SUMPRODUCT('Income Statement'!F29:O29,1/(1+B8)^({1,2,3,4,5,6,7,8,9,10}-Assumptions!C31))+'Income Statement'!O29*(1+H5)/MAX(B8-H5,0.01)/(1+B8)^(10-Assumptions!C31)-(Assumptions!C8-Assumptions!E8))/Assumptions!E7,"—")</f>
        <v/>
      </c>
    </row>
    <row r="9" ht="17" customHeight="1">
      <c r="B9" s="62">
        <f>'DCF Valuation'!C4+(0.0)</f>
        <v/>
      </c>
      <c r="C9" s="56">
        <f>IFERROR(MAX(0,SUMPRODUCT('Income Statement'!F29:O29,1/(1+B9)^({1,2,3,4,5,6,7,8,9,10}-Assumptions!C31))+'Income Statement'!O29*(1+C5)/MAX(B9-C5,0.01)/(1+B9)^(10-Assumptions!C31)-(Assumptions!C8-Assumptions!E8))/Assumptions!E7,"—")</f>
        <v/>
      </c>
      <c r="D9" s="56">
        <f>IFERROR(MAX(0,SUMPRODUCT('Income Statement'!F29:O29,1/(1+B9)^({1,2,3,4,5,6,7,8,9,10}-Assumptions!C31))+'Income Statement'!O29*(1+D5)/MAX(B9-D5,0.01)/(1+B9)^(10-Assumptions!C31)-(Assumptions!C8-Assumptions!E8))/Assumptions!E7,"—")</f>
        <v/>
      </c>
      <c r="E9" s="56">
        <f>IFERROR(MAX(0,SUMPRODUCT('Income Statement'!F29:O29,1/(1+B9)^({1,2,3,4,5,6,7,8,9,10}-Assumptions!C31))+'Income Statement'!O29*(1+E5)/MAX(B9-E5,0.01)/(1+B9)^(10-Assumptions!C31)-(Assumptions!C8-Assumptions!E8))/Assumptions!E7,"—")</f>
        <v/>
      </c>
      <c r="F9" s="56">
        <f>IFERROR(MAX(0,SUMPRODUCT('Income Statement'!F29:O29,1/(1+B9)^({1,2,3,4,5,6,7,8,9,10}-Assumptions!C31))+'Income Statement'!O29*(1+F5)/MAX(B9-F5,0.01)/(1+B9)^(10-Assumptions!C31)-(Assumptions!C8-Assumptions!E8))/Assumptions!E7,"—")</f>
        <v/>
      </c>
      <c r="G9" s="56">
        <f>IFERROR(MAX(0,SUMPRODUCT('Income Statement'!F29:O29,1/(1+B9)^({1,2,3,4,5,6,7,8,9,10}-Assumptions!C31))+'Income Statement'!O29*(1+G5)/MAX(B9-G5,0.01)/(1+B9)^(10-Assumptions!C31)-(Assumptions!C8-Assumptions!E8))/Assumptions!E7,"—")</f>
        <v/>
      </c>
      <c r="H9" s="56">
        <f>IFERROR(MAX(0,SUMPRODUCT('Income Statement'!F29:O29,1/(1+B9)^({1,2,3,4,5,6,7,8,9,10}-Assumptions!C31))+'Income Statement'!O29*(1+H5)/MAX(B9-H5,0.01)/(1+B9)^(10-Assumptions!C31)-(Assumptions!C8-Assumptions!E8))/Assumptions!E7,"—")</f>
        <v/>
      </c>
    </row>
    <row r="10" ht="17" customHeight="1">
      <c r="B10" s="62">
        <f>'DCF Valuation'!C4+(0.005)</f>
        <v/>
      </c>
      <c r="C10" s="56">
        <f>IFERROR(MAX(0,SUMPRODUCT('Income Statement'!F29:O29,1/(1+B10)^({1,2,3,4,5,6,7,8,9,10}-Assumptions!C31))+'Income Statement'!O29*(1+C5)/MAX(B10-C5,0.01)/(1+B10)^(10-Assumptions!C31)-(Assumptions!C8-Assumptions!E8))/Assumptions!E7,"—")</f>
        <v/>
      </c>
      <c r="D10" s="56">
        <f>IFERROR(MAX(0,SUMPRODUCT('Income Statement'!F29:O29,1/(1+B10)^({1,2,3,4,5,6,7,8,9,10}-Assumptions!C31))+'Income Statement'!O29*(1+D5)/MAX(B10-D5,0.01)/(1+B10)^(10-Assumptions!C31)-(Assumptions!C8-Assumptions!E8))/Assumptions!E7,"—")</f>
        <v/>
      </c>
      <c r="E10" s="56">
        <f>IFERROR(MAX(0,SUMPRODUCT('Income Statement'!F29:O29,1/(1+B10)^({1,2,3,4,5,6,7,8,9,10}-Assumptions!C31))+'Income Statement'!O29*(1+E5)/MAX(B10-E5,0.01)/(1+B10)^(10-Assumptions!C31)-(Assumptions!C8-Assumptions!E8))/Assumptions!E7,"—")</f>
        <v/>
      </c>
      <c r="F10" s="56">
        <f>IFERROR(MAX(0,SUMPRODUCT('Income Statement'!F29:O29,1/(1+B10)^({1,2,3,4,5,6,7,8,9,10}-Assumptions!C31))+'Income Statement'!O29*(1+F5)/MAX(B10-F5,0.01)/(1+B10)^(10-Assumptions!C31)-(Assumptions!C8-Assumptions!E8))/Assumptions!E7,"—")</f>
        <v/>
      </c>
      <c r="G10" s="56">
        <f>IFERROR(MAX(0,SUMPRODUCT('Income Statement'!F29:O29,1/(1+B10)^({1,2,3,4,5,6,7,8,9,10}-Assumptions!C31))+'Income Statement'!O29*(1+G5)/MAX(B10-G5,0.01)/(1+B10)^(10-Assumptions!C31)-(Assumptions!C8-Assumptions!E8))/Assumptions!E7,"—")</f>
        <v/>
      </c>
      <c r="H10" s="56">
        <f>IFERROR(MAX(0,SUMPRODUCT('Income Statement'!F29:O29,1/(1+B10)^({1,2,3,4,5,6,7,8,9,10}-Assumptions!C31))+'Income Statement'!O29*(1+H5)/MAX(B10-H5,0.01)/(1+B10)^(10-Assumptions!C31)-(Assumptions!C8-Assumptions!E8))/Assumptions!E7,"—")</f>
        <v/>
      </c>
    </row>
    <row r="11" ht="17" customHeight="1">
      <c r="B11" s="62">
        <f>'DCF Valuation'!C4+(0.01)</f>
        <v/>
      </c>
      <c r="C11" s="56">
        <f>IFERROR(MAX(0,SUMPRODUCT('Income Statement'!F29:O29,1/(1+B11)^({1,2,3,4,5,6,7,8,9,10}-Assumptions!C31))+'Income Statement'!O29*(1+C5)/MAX(B11-C5,0.01)/(1+B11)^(10-Assumptions!C31)-(Assumptions!C8-Assumptions!E8))/Assumptions!E7,"—")</f>
        <v/>
      </c>
      <c r="D11" s="56">
        <f>IFERROR(MAX(0,SUMPRODUCT('Income Statement'!F29:O29,1/(1+B11)^({1,2,3,4,5,6,7,8,9,10}-Assumptions!C31))+'Income Statement'!O29*(1+D5)/MAX(B11-D5,0.01)/(1+B11)^(10-Assumptions!C31)-(Assumptions!C8-Assumptions!E8))/Assumptions!E7,"—")</f>
        <v/>
      </c>
      <c r="E11" s="56">
        <f>IFERROR(MAX(0,SUMPRODUCT('Income Statement'!F29:O29,1/(1+B11)^({1,2,3,4,5,6,7,8,9,10}-Assumptions!C31))+'Income Statement'!O29*(1+E5)/MAX(B11-E5,0.01)/(1+B11)^(10-Assumptions!C31)-(Assumptions!C8-Assumptions!E8))/Assumptions!E7,"—")</f>
        <v/>
      </c>
      <c r="F11" s="56">
        <f>IFERROR(MAX(0,SUMPRODUCT('Income Statement'!F29:O29,1/(1+B11)^({1,2,3,4,5,6,7,8,9,10}-Assumptions!C31))+'Income Statement'!O29*(1+F5)/MAX(B11-F5,0.01)/(1+B11)^(10-Assumptions!C31)-(Assumptions!C8-Assumptions!E8))/Assumptions!E7,"—")</f>
        <v/>
      </c>
      <c r="G11" s="56">
        <f>IFERROR(MAX(0,SUMPRODUCT('Income Statement'!F29:O29,1/(1+B11)^({1,2,3,4,5,6,7,8,9,10}-Assumptions!C31))+'Income Statement'!O29*(1+G5)/MAX(B11-G5,0.01)/(1+B11)^(10-Assumptions!C31)-(Assumptions!C8-Assumptions!E8))/Assumptions!E7,"—")</f>
        <v/>
      </c>
      <c r="H11" s="56">
        <f>IFERROR(MAX(0,SUMPRODUCT('Income Statement'!F29:O29,1/(1+B11)^({1,2,3,4,5,6,7,8,9,10}-Assumptions!C31))+'Income Statement'!O29*(1+H5)/MAX(B11-H5,0.01)/(1+B11)^(10-Assumptions!C31)-(Assumptions!C8-Assumptions!E8))/Assumptions!E7,"—")</f>
        <v/>
      </c>
    </row>
    <row r="12" ht="17" customHeight="1">
      <c r="B12" s="62">
        <f>'DCF Valuation'!C4+(0.015)</f>
        <v/>
      </c>
      <c r="C12" s="56">
        <f>IFERROR(MAX(0,SUMPRODUCT('Income Statement'!F29:O29,1/(1+B12)^({1,2,3,4,5,6,7,8,9,10}-Assumptions!C31))+'Income Statement'!O29*(1+C5)/MAX(B12-C5,0.01)/(1+B12)^(10-Assumptions!C31)-(Assumptions!C8-Assumptions!E8))/Assumptions!E7,"—")</f>
        <v/>
      </c>
      <c r="D12" s="56">
        <f>IFERROR(MAX(0,SUMPRODUCT('Income Statement'!F29:O29,1/(1+B12)^({1,2,3,4,5,6,7,8,9,10}-Assumptions!C31))+'Income Statement'!O29*(1+D5)/MAX(B12-D5,0.01)/(1+B12)^(10-Assumptions!C31)-(Assumptions!C8-Assumptions!E8))/Assumptions!E7,"—")</f>
        <v/>
      </c>
      <c r="E12" s="56">
        <f>IFERROR(MAX(0,SUMPRODUCT('Income Statement'!F29:O29,1/(1+B12)^({1,2,3,4,5,6,7,8,9,10}-Assumptions!C31))+'Income Statement'!O29*(1+E5)/MAX(B12-E5,0.01)/(1+B12)^(10-Assumptions!C31)-(Assumptions!C8-Assumptions!E8))/Assumptions!E7,"—")</f>
        <v/>
      </c>
      <c r="F12" s="56">
        <f>IFERROR(MAX(0,SUMPRODUCT('Income Statement'!F29:O29,1/(1+B12)^({1,2,3,4,5,6,7,8,9,10}-Assumptions!C31))+'Income Statement'!O29*(1+F5)/MAX(B12-F5,0.01)/(1+B12)^(10-Assumptions!C31)-(Assumptions!C8-Assumptions!E8))/Assumptions!E7,"—")</f>
        <v/>
      </c>
      <c r="G12" s="56">
        <f>IFERROR(MAX(0,SUMPRODUCT('Income Statement'!F29:O29,1/(1+B12)^({1,2,3,4,5,6,7,8,9,10}-Assumptions!C31))+'Income Statement'!O29*(1+G5)/MAX(B12-G5,0.01)/(1+B12)^(10-Assumptions!C31)-(Assumptions!C8-Assumptions!E8))/Assumptions!E7,"—")</f>
        <v/>
      </c>
      <c r="H12" s="56">
        <f>IFERROR(MAX(0,SUMPRODUCT('Income Statement'!F29:O29,1/(1+B12)^({1,2,3,4,5,6,7,8,9,10}-Assumptions!C31))+'Income Statement'!O29*(1+H5)/MAX(B12-H5,0.01)/(1+B12)^(10-Assumptions!C31)-(Assumptions!C8-Assumptions!E8))/Assumptions!E7,"—")</f>
        <v/>
      </c>
    </row>
    <row r="14" ht="16" customHeight="1">
      <c r="B14" s="59" t="inlineStr">
        <is>
          <t xml:space="preserve">  TABLE 2 - Implied Share Price  vs  EBITDA Margin  x  Uniform Revenue Growth  [full DCF re-calc per cell; growth applied to all 10 yrs]</t>
        </is>
      </c>
      <c r="C14" s="75" t="n"/>
      <c r="D14" s="75" t="n"/>
      <c r="E14" s="75" t="n"/>
      <c r="F14" s="75" t="n"/>
      <c r="G14" s="75" t="n"/>
      <c r="H14" s="76" t="n"/>
    </row>
    <row r="15" ht="16" customHeight="1">
      <c r="B15" s="60" t="inlineStr">
        <is>
          <t xml:space="preserve">  Gr\EBITDA%</t>
        </is>
      </c>
      <c r="C15" s="63">
        <f>Assumptions!E16+(-0.04)</f>
        <v/>
      </c>
      <c r="D15" s="63">
        <f>Assumptions!E16+(-0.02)</f>
        <v/>
      </c>
      <c r="E15" s="63">
        <f>Assumptions!E16+(0.0)</f>
        <v/>
      </c>
      <c r="F15" s="63">
        <f>Assumptions!E16+(0.02)</f>
        <v/>
      </c>
      <c r="G15" s="63">
        <f>Assumptions!E16+(0.04)</f>
        <v/>
      </c>
    </row>
    <row r="16" ht="17" customHeight="1">
      <c r="B16" s="64">
        <f>Assumptions!C10+(-0.03)</f>
        <v/>
      </c>
      <c r="C16" s="56">
        <f>IFERROR(MAX(0,SUMPRODUCT((Assumptions!C28)*(((C15)-(Assumptions!C17))*(1-(Assumptions!E18))+(Assumptions!C17)-(Assumptions!E17)-(Assumptions!C18)*(B16)/(1+(B16))+(Assumptions!C19)*(Assumptions!E31))*(1+(B16))^{1,2,3,4,5,6,7,8,9,10},1/(1+'DCF Valuation'!C4)^({1,2,3,4,5,6,7,8,9,10}-Assumptions!C31))+(Assumptions!C28)*(((C15)-(Assumptions!C17))*(1-(Assumptions!E18))+(Assumptions!C17)-(Assumptions!E17)-(Assumptions!C18)*(B16)/(1+(B16))+(Assumptions!C19)*(Assumptions!E31))*(1+(B16))^10*(1+('DCF Valuation'!C5))/MAX('DCF Valuation'!C4-('DCF Valuation'!C5),0.01)/(1+'DCF Valuation'!C4)^(10-Assumptions!C31)-(Assumptions!C8-Assumptions!E8))/Assumptions!E7,"—")</f>
        <v/>
      </c>
      <c r="D16" s="56">
        <f>IFERROR(MAX(0,SUMPRODUCT((Assumptions!C28)*(((D15)-(Assumptions!C17))*(1-(Assumptions!E18))+(Assumptions!C17)-(Assumptions!E17)-(Assumptions!C18)*(B16)/(1+(B16))+(Assumptions!C19)*(Assumptions!E31))*(1+(B16))^{1,2,3,4,5,6,7,8,9,10},1/(1+'DCF Valuation'!C4)^({1,2,3,4,5,6,7,8,9,10}-Assumptions!C31))+(Assumptions!C28)*(((D15)-(Assumptions!C17))*(1-(Assumptions!E18))+(Assumptions!C17)-(Assumptions!E17)-(Assumptions!C18)*(B16)/(1+(B16))+(Assumptions!C19)*(Assumptions!E31))*(1+(B16))^10*(1+('DCF Valuation'!C5))/MAX('DCF Valuation'!C4-('DCF Valuation'!C5),0.01)/(1+'DCF Valuation'!C4)^(10-Assumptions!C31)-(Assumptions!C8-Assumptions!E8))/Assumptions!E7,"—")</f>
        <v/>
      </c>
      <c r="E16" s="56">
        <f>IFERROR(MAX(0,SUMPRODUCT((Assumptions!C28)*(((E15)-(Assumptions!C17))*(1-(Assumptions!E18))+(Assumptions!C17)-(Assumptions!E17)-(Assumptions!C18)*(B16)/(1+(B16))+(Assumptions!C19)*(Assumptions!E31))*(1+(B16))^{1,2,3,4,5,6,7,8,9,10},1/(1+'DCF Valuation'!C4)^({1,2,3,4,5,6,7,8,9,10}-Assumptions!C31))+(Assumptions!C28)*(((E15)-(Assumptions!C17))*(1-(Assumptions!E18))+(Assumptions!C17)-(Assumptions!E17)-(Assumptions!C18)*(B16)/(1+(B16))+(Assumptions!C19)*(Assumptions!E31))*(1+(B16))^10*(1+('DCF Valuation'!C5))/MAX('DCF Valuation'!C4-('DCF Valuation'!C5),0.01)/(1+'DCF Valuation'!C4)^(10-Assumptions!C31)-(Assumptions!C8-Assumptions!E8))/Assumptions!E7,"—")</f>
        <v/>
      </c>
      <c r="F16" s="56">
        <f>IFERROR(MAX(0,SUMPRODUCT((Assumptions!C28)*(((F15)-(Assumptions!C17))*(1-(Assumptions!E18))+(Assumptions!C17)-(Assumptions!E17)-(Assumptions!C18)*(B16)/(1+(B16))+(Assumptions!C19)*(Assumptions!E31))*(1+(B16))^{1,2,3,4,5,6,7,8,9,10},1/(1+'DCF Valuation'!C4)^({1,2,3,4,5,6,7,8,9,10}-Assumptions!C31))+(Assumptions!C28)*(((F15)-(Assumptions!C17))*(1-(Assumptions!E18))+(Assumptions!C17)-(Assumptions!E17)-(Assumptions!C18)*(B16)/(1+(B16))+(Assumptions!C19)*(Assumptions!E31))*(1+(B16))^10*(1+('DCF Valuation'!C5))/MAX('DCF Valuation'!C4-('DCF Valuation'!C5),0.01)/(1+'DCF Valuation'!C4)^(10-Assumptions!C31)-(Assumptions!C8-Assumptions!E8))/Assumptions!E7,"—")</f>
        <v/>
      </c>
      <c r="G16" s="56">
        <f>IFERROR(MAX(0,SUMPRODUCT((Assumptions!C28)*(((G15)-(Assumptions!C17))*(1-(Assumptions!E18))+(Assumptions!C17)-(Assumptions!E17)-(Assumptions!C18)*(B16)/(1+(B16))+(Assumptions!C19)*(Assumptions!E31))*(1+(B16))^{1,2,3,4,5,6,7,8,9,10},1/(1+'DCF Valuation'!C4)^({1,2,3,4,5,6,7,8,9,10}-Assumptions!C31))+(Assumptions!C28)*(((G15)-(Assumptions!C17))*(1-(Assumptions!E18))+(Assumptions!C17)-(Assumptions!E17)-(Assumptions!C18)*(B16)/(1+(B16))+(Assumptions!C19)*(Assumptions!E31))*(1+(B16))^10*(1+('DCF Valuation'!C5))/MAX('DCF Valuation'!C4-('DCF Valuation'!C5),0.01)/(1+'DCF Valuation'!C4)^(10-Assumptions!C31)-(Assumptions!C8-Assumptions!E8))/Assumptions!E7,"—")</f>
        <v/>
      </c>
    </row>
    <row r="17" ht="17" customHeight="1">
      <c r="B17" s="64">
        <f>Assumptions!C10+(-0.02)</f>
        <v/>
      </c>
      <c r="C17" s="56">
        <f>IFERROR(MAX(0,SUMPRODUCT((Assumptions!C28)*(((C15)-(Assumptions!C17))*(1-(Assumptions!E18))+(Assumptions!C17)-(Assumptions!E17)-(Assumptions!C18)*(B17)/(1+(B17))+(Assumptions!C19)*(Assumptions!E31))*(1+(B17))^{1,2,3,4,5,6,7,8,9,10},1/(1+'DCF Valuation'!C4)^({1,2,3,4,5,6,7,8,9,10}-Assumptions!C31))+(Assumptions!C28)*(((C15)-(Assumptions!C17))*(1-(Assumptions!E18))+(Assumptions!C17)-(Assumptions!E17)-(Assumptions!C18)*(B17)/(1+(B17))+(Assumptions!C19)*(Assumptions!E31))*(1+(B17))^10*(1+('DCF Valuation'!C5))/MAX('DCF Valuation'!C4-('DCF Valuation'!C5),0.01)/(1+'DCF Valuation'!C4)^(10-Assumptions!C31)-(Assumptions!C8-Assumptions!E8))/Assumptions!E7,"—")</f>
        <v/>
      </c>
      <c r="D17" s="56">
        <f>IFERROR(MAX(0,SUMPRODUCT((Assumptions!C28)*(((D15)-(Assumptions!C17))*(1-(Assumptions!E18))+(Assumptions!C17)-(Assumptions!E17)-(Assumptions!C18)*(B17)/(1+(B17))+(Assumptions!C19)*(Assumptions!E31))*(1+(B17))^{1,2,3,4,5,6,7,8,9,10},1/(1+'DCF Valuation'!C4)^({1,2,3,4,5,6,7,8,9,10}-Assumptions!C31))+(Assumptions!C28)*(((D15)-(Assumptions!C17))*(1-(Assumptions!E18))+(Assumptions!C17)-(Assumptions!E17)-(Assumptions!C18)*(B17)/(1+(B17))+(Assumptions!C19)*(Assumptions!E31))*(1+(B17))^10*(1+('DCF Valuation'!C5))/MAX('DCF Valuation'!C4-('DCF Valuation'!C5),0.01)/(1+'DCF Valuation'!C4)^(10-Assumptions!C31)-(Assumptions!C8-Assumptions!E8))/Assumptions!E7,"—")</f>
        <v/>
      </c>
      <c r="E17" s="56">
        <f>IFERROR(MAX(0,SUMPRODUCT((Assumptions!C28)*(((E15)-(Assumptions!C17))*(1-(Assumptions!E18))+(Assumptions!C17)-(Assumptions!E17)-(Assumptions!C18)*(B17)/(1+(B17))+(Assumptions!C19)*(Assumptions!E31))*(1+(B17))^{1,2,3,4,5,6,7,8,9,10},1/(1+'DCF Valuation'!C4)^({1,2,3,4,5,6,7,8,9,10}-Assumptions!C31))+(Assumptions!C28)*(((E15)-(Assumptions!C17))*(1-(Assumptions!E18))+(Assumptions!C17)-(Assumptions!E17)-(Assumptions!C18)*(B17)/(1+(B17))+(Assumptions!C19)*(Assumptions!E31))*(1+(B17))^10*(1+('DCF Valuation'!C5))/MAX('DCF Valuation'!C4-('DCF Valuation'!C5),0.01)/(1+'DCF Valuation'!C4)^(10-Assumptions!C31)-(Assumptions!C8-Assumptions!E8))/Assumptions!E7,"—")</f>
        <v/>
      </c>
      <c r="F17" s="56">
        <f>IFERROR(MAX(0,SUMPRODUCT((Assumptions!C28)*(((F15)-(Assumptions!C17))*(1-(Assumptions!E18))+(Assumptions!C17)-(Assumptions!E17)-(Assumptions!C18)*(B17)/(1+(B17))+(Assumptions!C19)*(Assumptions!E31))*(1+(B17))^{1,2,3,4,5,6,7,8,9,10},1/(1+'DCF Valuation'!C4)^({1,2,3,4,5,6,7,8,9,10}-Assumptions!C31))+(Assumptions!C28)*(((F15)-(Assumptions!C17))*(1-(Assumptions!E18))+(Assumptions!C17)-(Assumptions!E17)-(Assumptions!C18)*(B17)/(1+(B17))+(Assumptions!C19)*(Assumptions!E31))*(1+(B17))^10*(1+('DCF Valuation'!C5))/MAX('DCF Valuation'!C4-('DCF Valuation'!C5),0.01)/(1+'DCF Valuation'!C4)^(10-Assumptions!C31)-(Assumptions!C8-Assumptions!E8))/Assumptions!E7,"—")</f>
        <v/>
      </c>
      <c r="G17" s="56">
        <f>IFERROR(MAX(0,SUMPRODUCT((Assumptions!C28)*(((G15)-(Assumptions!C17))*(1-(Assumptions!E18))+(Assumptions!C17)-(Assumptions!E17)-(Assumptions!C18)*(B17)/(1+(B17))+(Assumptions!C19)*(Assumptions!E31))*(1+(B17))^{1,2,3,4,5,6,7,8,9,10},1/(1+'DCF Valuation'!C4)^({1,2,3,4,5,6,7,8,9,10}-Assumptions!C31))+(Assumptions!C28)*(((G15)-(Assumptions!C17))*(1-(Assumptions!E18))+(Assumptions!C17)-(Assumptions!E17)-(Assumptions!C18)*(B17)/(1+(B17))+(Assumptions!C19)*(Assumptions!E31))*(1+(B17))^10*(1+('DCF Valuation'!C5))/MAX('DCF Valuation'!C4-('DCF Valuation'!C5),0.01)/(1+'DCF Valuation'!C4)^(10-Assumptions!C31)-(Assumptions!C8-Assumptions!E8))/Assumptions!E7,"—")</f>
        <v/>
      </c>
    </row>
    <row r="18" ht="17" customHeight="1">
      <c r="B18" s="64">
        <f>Assumptions!C10+(-0.01)</f>
        <v/>
      </c>
      <c r="C18" s="56">
        <f>IFERROR(MAX(0,SUMPRODUCT((Assumptions!C28)*(((C15)-(Assumptions!C17))*(1-(Assumptions!E18))+(Assumptions!C17)-(Assumptions!E17)-(Assumptions!C18)*(B18)/(1+(B18))+(Assumptions!C19)*(Assumptions!E31))*(1+(B18))^{1,2,3,4,5,6,7,8,9,10},1/(1+'DCF Valuation'!C4)^({1,2,3,4,5,6,7,8,9,10}-Assumptions!C31))+(Assumptions!C28)*(((C15)-(Assumptions!C17))*(1-(Assumptions!E18))+(Assumptions!C17)-(Assumptions!E17)-(Assumptions!C18)*(B18)/(1+(B18))+(Assumptions!C19)*(Assumptions!E31))*(1+(B18))^10*(1+('DCF Valuation'!C5))/MAX('DCF Valuation'!C4-('DCF Valuation'!C5),0.01)/(1+'DCF Valuation'!C4)^(10-Assumptions!C31)-(Assumptions!C8-Assumptions!E8))/Assumptions!E7,"—")</f>
        <v/>
      </c>
      <c r="D18" s="56">
        <f>IFERROR(MAX(0,SUMPRODUCT((Assumptions!C28)*(((D15)-(Assumptions!C17))*(1-(Assumptions!E18))+(Assumptions!C17)-(Assumptions!E17)-(Assumptions!C18)*(B18)/(1+(B18))+(Assumptions!C19)*(Assumptions!E31))*(1+(B18))^{1,2,3,4,5,6,7,8,9,10},1/(1+'DCF Valuation'!C4)^({1,2,3,4,5,6,7,8,9,10}-Assumptions!C31))+(Assumptions!C28)*(((D15)-(Assumptions!C17))*(1-(Assumptions!E18))+(Assumptions!C17)-(Assumptions!E17)-(Assumptions!C18)*(B18)/(1+(B18))+(Assumptions!C19)*(Assumptions!E31))*(1+(B18))^10*(1+('DCF Valuation'!C5))/MAX('DCF Valuation'!C4-('DCF Valuation'!C5),0.01)/(1+'DCF Valuation'!C4)^(10-Assumptions!C31)-(Assumptions!C8-Assumptions!E8))/Assumptions!E7,"—")</f>
        <v/>
      </c>
      <c r="E18" s="56">
        <f>IFERROR(MAX(0,SUMPRODUCT((Assumptions!C28)*(((E15)-(Assumptions!C17))*(1-(Assumptions!E18))+(Assumptions!C17)-(Assumptions!E17)-(Assumptions!C18)*(B18)/(1+(B18))+(Assumptions!C19)*(Assumptions!E31))*(1+(B18))^{1,2,3,4,5,6,7,8,9,10},1/(1+'DCF Valuation'!C4)^({1,2,3,4,5,6,7,8,9,10}-Assumptions!C31))+(Assumptions!C28)*(((E15)-(Assumptions!C17))*(1-(Assumptions!E18))+(Assumptions!C17)-(Assumptions!E17)-(Assumptions!C18)*(B18)/(1+(B18))+(Assumptions!C19)*(Assumptions!E31))*(1+(B18))^10*(1+('DCF Valuation'!C5))/MAX('DCF Valuation'!C4-('DCF Valuation'!C5),0.01)/(1+'DCF Valuation'!C4)^(10-Assumptions!C31)-(Assumptions!C8-Assumptions!E8))/Assumptions!E7,"—")</f>
        <v/>
      </c>
      <c r="F18" s="56">
        <f>IFERROR(MAX(0,SUMPRODUCT((Assumptions!C28)*(((F15)-(Assumptions!C17))*(1-(Assumptions!E18))+(Assumptions!C17)-(Assumptions!E17)-(Assumptions!C18)*(B18)/(1+(B18))+(Assumptions!C19)*(Assumptions!E31))*(1+(B18))^{1,2,3,4,5,6,7,8,9,10},1/(1+'DCF Valuation'!C4)^({1,2,3,4,5,6,7,8,9,10}-Assumptions!C31))+(Assumptions!C28)*(((F15)-(Assumptions!C17))*(1-(Assumptions!E18))+(Assumptions!C17)-(Assumptions!E17)-(Assumptions!C18)*(B18)/(1+(B18))+(Assumptions!C19)*(Assumptions!E31))*(1+(B18))^10*(1+('DCF Valuation'!C5))/MAX('DCF Valuation'!C4-('DCF Valuation'!C5),0.01)/(1+'DCF Valuation'!C4)^(10-Assumptions!C31)-(Assumptions!C8-Assumptions!E8))/Assumptions!E7,"—")</f>
        <v/>
      </c>
      <c r="G18" s="56">
        <f>IFERROR(MAX(0,SUMPRODUCT((Assumptions!C28)*(((G15)-(Assumptions!C17))*(1-(Assumptions!E18))+(Assumptions!C17)-(Assumptions!E17)-(Assumptions!C18)*(B18)/(1+(B18))+(Assumptions!C19)*(Assumptions!E31))*(1+(B18))^{1,2,3,4,5,6,7,8,9,10},1/(1+'DCF Valuation'!C4)^({1,2,3,4,5,6,7,8,9,10}-Assumptions!C31))+(Assumptions!C28)*(((G15)-(Assumptions!C17))*(1-(Assumptions!E18))+(Assumptions!C17)-(Assumptions!E17)-(Assumptions!C18)*(B18)/(1+(B18))+(Assumptions!C19)*(Assumptions!E31))*(1+(B18))^10*(1+('DCF Valuation'!C5))/MAX('DCF Valuation'!C4-('DCF Valuation'!C5),0.01)/(1+'DCF Valuation'!C4)^(10-Assumptions!C31)-(Assumptions!C8-Assumptions!E8))/Assumptions!E7,"—")</f>
        <v/>
      </c>
    </row>
    <row r="19" ht="17" customHeight="1">
      <c r="B19" s="64">
        <f>Assumptions!C10+(0.0)</f>
        <v/>
      </c>
      <c r="C19" s="56">
        <f>IFERROR(MAX(0,SUMPRODUCT((Assumptions!C28)*(((C15)-(Assumptions!C17))*(1-(Assumptions!E18))+(Assumptions!C17)-(Assumptions!E17)-(Assumptions!C18)*(B19)/(1+(B19))+(Assumptions!C19)*(Assumptions!E31))*(1+(B19))^{1,2,3,4,5,6,7,8,9,10},1/(1+'DCF Valuation'!C4)^({1,2,3,4,5,6,7,8,9,10}-Assumptions!C31))+(Assumptions!C28)*(((C15)-(Assumptions!C17))*(1-(Assumptions!E18))+(Assumptions!C17)-(Assumptions!E17)-(Assumptions!C18)*(B19)/(1+(B19))+(Assumptions!C19)*(Assumptions!E31))*(1+(B19))^10*(1+('DCF Valuation'!C5))/MAX('DCF Valuation'!C4-('DCF Valuation'!C5),0.01)/(1+'DCF Valuation'!C4)^(10-Assumptions!C31)-(Assumptions!C8-Assumptions!E8))/Assumptions!E7,"—")</f>
        <v/>
      </c>
      <c r="D19" s="56">
        <f>IFERROR(MAX(0,SUMPRODUCT((Assumptions!C28)*(((D15)-(Assumptions!C17))*(1-(Assumptions!E18))+(Assumptions!C17)-(Assumptions!E17)-(Assumptions!C18)*(B19)/(1+(B19))+(Assumptions!C19)*(Assumptions!E31))*(1+(B19))^{1,2,3,4,5,6,7,8,9,10},1/(1+'DCF Valuation'!C4)^({1,2,3,4,5,6,7,8,9,10}-Assumptions!C31))+(Assumptions!C28)*(((D15)-(Assumptions!C17))*(1-(Assumptions!E18))+(Assumptions!C17)-(Assumptions!E17)-(Assumptions!C18)*(B19)/(1+(B19))+(Assumptions!C19)*(Assumptions!E31))*(1+(B19))^10*(1+('DCF Valuation'!C5))/MAX('DCF Valuation'!C4-('DCF Valuation'!C5),0.01)/(1+'DCF Valuation'!C4)^(10-Assumptions!C31)-(Assumptions!C8-Assumptions!E8))/Assumptions!E7,"—")</f>
        <v/>
      </c>
      <c r="E19" s="56">
        <f>IFERROR(MAX(0,SUMPRODUCT((Assumptions!C28)*(((E15)-(Assumptions!C17))*(1-(Assumptions!E18))+(Assumptions!C17)-(Assumptions!E17)-(Assumptions!C18)*(B19)/(1+(B19))+(Assumptions!C19)*(Assumptions!E31))*(1+(B19))^{1,2,3,4,5,6,7,8,9,10},1/(1+'DCF Valuation'!C4)^({1,2,3,4,5,6,7,8,9,10}-Assumptions!C31))+(Assumptions!C28)*(((E15)-(Assumptions!C17))*(1-(Assumptions!E18))+(Assumptions!C17)-(Assumptions!E17)-(Assumptions!C18)*(B19)/(1+(B19))+(Assumptions!C19)*(Assumptions!E31))*(1+(B19))^10*(1+('DCF Valuation'!C5))/MAX('DCF Valuation'!C4-('DCF Valuation'!C5),0.01)/(1+'DCF Valuation'!C4)^(10-Assumptions!C31)-(Assumptions!C8-Assumptions!E8))/Assumptions!E7,"—")</f>
        <v/>
      </c>
      <c r="F19" s="56">
        <f>IFERROR(MAX(0,SUMPRODUCT((Assumptions!C28)*(((F15)-(Assumptions!C17))*(1-(Assumptions!E18))+(Assumptions!C17)-(Assumptions!E17)-(Assumptions!C18)*(B19)/(1+(B19))+(Assumptions!C19)*(Assumptions!E31))*(1+(B19))^{1,2,3,4,5,6,7,8,9,10},1/(1+'DCF Valuation'!C4)^({1,2,3,4,5,6,7,8,9,10}-Assumptions!C31))+(Assumptions!C28)*(((F15)-(Assumptions!C17))*(1-(Assumptions!E18))+(Assumptions!C17)-(Assumptions!E17)-(Assumptions!C18)*(B19)/(1+(B19))+(Assumptions!C19)*(Assumptions!E31))*(1+(B19))^10*(1+('DCF Valuation'!C5))/MAX('DCF Valuation'!C4-('DCF Valuation'!C5),0.01)/(1+'DCF Valuation'!C4)^(10-Assumptions!C31)-(Assumptions!C8-Assumptions!E8))/Assumptions!E7,"—")</f>
        <v/>
      </c>
      <c r="G19" s="56">
        <f>IFERROR(MAX(0,SUMPRODUCT((Assumptions!C28)*(((G15)-(Assumptions!C17))*(1-(Assumptions!E18))+(Assumptions!C17)-(Assumptions!E17)-(Assumptions!C18)*(B19)/(1+(B19))+(Assumptions!C19)*(Assumptions!E31))*(1+(B19))^{1,2,3,4,5,6,7,8,9,10},1/(1+'DCF Valuation'!C4)^({1,2,3,4,5,6,7,8,9,10}-Assumptions!C31))+(Assumptions!C28)*(((G15)-(Assumptions!C17))*(1-(Assumptions!E18))+(Assumptions!C17)-(Assumptions!E17)-(Assumptions!C18)*(B19)/(1+(B19))+(Assumptions!C19)*(Assumptions!E31))*(1+(B19))^10*(1+('DCF Valuation'!C5))/MAX('DCF Valuation'!C4-('DCF Valuation'!C5),0.01)/(1+'DCF Valuation'!C4)^(10-Assumptions!C31)-(Assumptions!C8-Assumptions!E8))/Assumptions!E7,"—")</f>
        <v/>
      </c>
    </row>
    <row r="20" ht="17" customHeight="1">
      <c r="B20" s="64">
        <f>Assumptions!C10+(0.01)</f>
        <v/>
      </c>
      <c r="C20" s="56">
        <f>IFERROR(MAX(0,SUMPRODUCT((Assumptions!C28)*(((C15)-(Assumptions!C17))*(1-(Assumptions!E18))+(Assumptions!C17)-(Assumptions!E17)-(Assumptions!C18)*(B20)/(1+(B20))+(Assumptions!C19)*(Assumptions!E31))*(1+(B20))^{1,2,3,4,5,6,7,8,9,10},1/(1+'DCF Valuation'!C4)^({1,2,3,4,5,6,7,8,9,10}-Assumptions!C31))+(Assumptions!C28)*(((C15)-(Assumptions!C17))*(1-(Assumptions!E18))+(Assumptions!C17)-(Assumptions!E17)-(Assumptions!C18)*(B20)/(1+(B20))+(Assumptions!C19)*(Assumptions!E31))*(1+(B20))^10*(1+('DCF Valuation'!C5))/MAX('DCF Valuation'!C4-('DCF Valuation'!C5),0.01)/(1+'DCF Valuation'!C4)^(10-Assumptions!C31)-(Assumptions!C8-Assumptions!E8))/Assumptions!E7,"—")</f>
        <v/>
      </c>
      <c r="D20" s="56">
        <f>IFERROR(MAX(0,SUMPRODUCT((Assumptions!C28)*(((D15)-(Assumptions!C17))*(1-(Assumptions!E18))+(Assumptions!C17)-(Assumptions!E17)-(Assumptions!C18)*(B20)/(1+(B20))+(Assumptions!C19)*(Assumptions!E31))*(1+(B20))^{1,2,3,4,5,6,7,8,9,10},1/(1+'DCF Valuation'!C4)^({1,2,3,4,5,6,7,8,9,10}-Assumptions!C31))+(Assumptions!C28)*(((D15)-(Assumptions!C17))*(1-(Assumptions!E18))+(Assumptions!C17)-(Assumptions!E17)-(Assumptions!C18)*(B20)/(1+(B20))+(Assumptions!C19)*(Assumptions!E31))*(1+(B20))^10*(1+('DCF Valuation'!C5))/MAX('DCF Valuation'!C4-('DCF Valuation'!C5),0.01)/(1+'DCF Valuation'!C4)^(10-Assumptions!C31)-(Assumptions!C8-Assumptions!E8))/Assumptions!E7,"—")</f>
        <v/>
      </c>
      <c r="E20" s="56">
        <f>IFERROR(MAX(0,SUMPRODUCT((Assumptions!C28)*(((E15)-(Assumptions!C17))*(1-(Assumptions!E18))+(Assumptions!C17)-(Assumptions!E17)-(Assumptions!C18)*(B20)/(1+(B20))+(Assumptions!C19)*(Assumptions!E31))*(1+(B20))^{1,2,3,4,5,6,7,8,9,10},1/(1+'DCF Valuation'!C4)^({1,2,3,4,5,6,7,8,9,10}-Assumptions!C31))+(Assumptions!C28)*(((E15)-(Assumptions!C17))*(1-(Assumptions!E18))+(Assumptions!C17)-(Assumptions!E17)-(Assumptions!C18)*(B20)/(1+(B20))+(Assumptions!C19)*(Assumptions!E31))*(1+(B20))^10*(1+('DCF Valuation'!C5))/MAX('DCF Valuation'!C4-('DCF Valuation'!C5),0.01)/(1+'DCF Valuation'!C4)^(10-Assumptions!C31)-(Assumptions!C8-Assumptions!E8))/Assumptions!E7,"—")</f>
        <v/>
      </c>
      <c r="F20" s="56">
        <f>IFERROR(MAX(0,SUMPRODUCT((Assumptions!C28)*(((F15)-(Assumptions!C17))*(1-(Assumptions!E18))+(Assumptions!C17)-(Assumptions!E17)-(Assumptions!C18)*(B20)/(1+(B20))+(Assumptions!C19)*(Assumptions!E31))*(1+(B20))^{1,2,3,4,5,6,7,8,9,10},1/(1+'DCF Valuation'!C4)^({1,2,3,4,5,6,7,8,9,10}-Assumptions!C31))+(Assumptions!C28)*(((F15)-(Assumptions!C17))*(1-(Assumptions!E18))+(Assumptions!C17)-(Assumptions!E17)-(Assumptions!C18)*(B20)/(1+(B20))+(Assumptions!C19)*(Assumptions!E31))*(1+(B20))^10*(1+('DCF Valuation'!C5))/MAX('DCF Valuation'!C4-('DCF Valuation'!C5),0.01)/(1+'DCF Valuation'!C4)^(10-Assumptions!C31)-(Assumptions!C8-Assumptions!E8))/Assumptions!E7,"—")</f>
        <v/>
      </c>
      <c r="G20" s="56">
        <f>IFERROR(MAX(0,SUMPRODUCT((Assumptions!C28)*(((G15)-(Assumptions!C17))*(1-(Assumptions!E18))+(Assumptions!C17)-(Assumptions!E17)-(Assumptions!C18)*(B20)/(1+(B20))+(Assumptions!C19)*(Assumptions!E31))*(1+(B20))^{1,2,3,4,5,6,7,8,9,10},1/(1+'DCF Valuation'!C4)^({1,2,3,4,5,6,7,8,9,10}-Assumptions!C31))+(Assumptions!C28)*(((G15)-(Assumptions!C17))*(1-(Assumptions!E18))+(Assumptions!C17)-(Assumptions!E17)-(Assumptions!C18)*(B20)/(1+(B20))+(Assumptions!C19)*(Assumptions!E31))*(1+(B20))^10*(1+('DCF Valuation'!C5))/MAX('DCF Valuation'!C4-('DCF Valuation'!C5),0.01)/(1+'DCF Valuation'!C4)^(10-Assumptions!C31)-(Assumptions!C8-Assumptions!E8))/Assumptions!E7,"—")</f>
        <v/>
      </c>
    </row>
    <row r="21" ht="17" customHeight="1">
      <c r="B21" s="64">
        <f>Assumptions!C10+(0.02)</f>
        <v/>
      </c>
      <c r="C21" s="56">
        <f>IFERROR(MAX(0,SUMPRODUCT((Assumptions!C28)*(((C15)-(Assumptions!C17))*(1-(Assumptions!E18))+(Assumptions!C17)-(Assumptions!E17)-(Assumptions!C18)*(B21)/(1+(B21))+(Assumptions!C19)*(Assumptions!E31))*(1+(B21))^{1,2,3,4,5,6,7,8,9,10},1/(1+'DCF Valuation'!C4)^({1,2,3,4,5,6,7,8,9,10}-Assumptions!C31))+(Assumptions!C28)*(((C15)-(Assumptions!C17))*(1-(Assumptions!E18))+(Assumptions!C17)-(Assumptions!E17)-(Assumptions!C18)*(B21)/(1+(B21))+(Assumptions!C19)*(Assumptions!E31))*(1+(B21))^10*(1+('DCF Valuation'!C5))/MAX('DCF Valuation'!C4-('DCF Valuation'!C5),0.01)/(1+'DCF Valuation'!C4)^(10-Assumptions!C31)-(Assumptions!C8-Assumptions!E8))/Assumptions!E7,"—")</f>
        <v/>
      </c>
      <c r="D21" s="56">
        <f>IFERROR(MAX(0,SUMPRODUCT((Assumptions!C28)*(((D15)-(Assumptions!C17))*(1-(Assumptions!E18))+(Assumptions!C17)-(Assumptions!E17)-(Assumptions!C18)*(B21)/(1+(B21))+(Assumptions!C19)*(Assumptions!E31))*(1+(B21))^{1,2,3,4,5,6,7,8,9,10},1/(1+'DCF Valuation'!C4)^({1,2,3,4,5,6,7,8,9,10}-Assumptions!C31))+(Assumptions!C28)*(((D15)-(Assumptions!C17))*(1-(Assumptions!E18))+(Assumptions!C17)-(Assumptions!E17)-(Assumptions!C18)*(B21)/(1+(B21))+(Assumptions!C19)*(Assumptions!E31))*(1+(B21))^10*(1+('DCF Valuation'!C5))/MAX('DCF Valuation'!C4-('DCF Valuation'!C5),0.01)/(1+'DCF Valuation'!C4)^(10-Assumptions!C31)-(Assumptions!C8-Assumptions!E8))/Assumptions!E7,"—")</f>
        <v/>
      </c>
      <c r="E21" s="56">
        <f>IFERROR(MAX(0,SUMPRODUCT((Assumptions!C28)*(((E15)-(Assumptions!C17))*(1-(Assumptions!E18))+(Assumptions!C17)-(Assumptions!E17)-(Assumptions!C18)*(B21)/(1+(B21))+(Assumptions!C19)*(Assumptions!E31))*(1+(B21))^{1,2,3,4,5,6,7,8,9,10},1/(1+'DCF Valuation'!C4)^({1,2,3,4,5,6,7,8,9,10}-Assumptions!C31))+(Assumptions!C28)*(((E15)-(Assumptions!C17))*(1-(Assumptions!E18))+(Assumptions!C17)-(Assumptions!E17)-(Assumptions!C18)*(B21)/(1+(B21))+(Assumptions!C19)*(Assumptions!E31))*(1+(B21))^10*(1+('DCF Valuation'!C5))/MAX('DCF Valuation'!C4-('DCF Valuation'!C5),0.01)/(1+'DCF Valuation'!C4)^(10-Assumptions!C31)-(Assumptions!C8-Assumptions!E8))/Assumptions!E7,"—")</f>
        <v/>
      </c>
      <c r="F21" s="56">
        <f>IFERROR(MAX(0,SUMPRODUCT((Assumptions!C28)*(((F15)-(Assumptions!C17))*(1-(Assumptions!E18))+(Assumptions!C17)-(Assumptions!E17)-(Assumptions!C18)*(B21)/(1+(B21))+(Assumptions!C19)*(Assumptions!E31))*(1+(B21))^{1,2,3,4,5,6,7,8,9,10},1/(1+'DCF Valuation'!C4)^({1,2,3,4,5,6,7,8,9,10}-Assumptions!C31))+(Assumptions!C28)*(((F15)-(Assumptions!C17))*(1-(Assumptions!E18))+(Assumptions!C17)-(Assumptions!E17)-(Assumptions!C18)*(B21)/(1+(B21))+(Assumptions!C19)*(Assumptions!E31))*(1+(B21))^10*(1+('DCF Valuation'!C5))/MAX('DCF Valuation'!C4-('DCF Valuation'!C5),0.01)/(1+'DCF Valuation'!C4)^(10-Assumptions!C31)-(Assumptions!C8-Assumptions!E8))/Assumptions!E7,"—")</f>
        <v/>
      </c>
      <c r="G21" s="56">
        <f>IFERROR(MAX(0,SUMPRODUCT((Assumptions!C28)*(((G15)-(Assumptions!C17))*(1-(Assumptions!E18))+(Assumptions!C17)-(Assumptions!E17)-(Assumptions!C18)*(B21)/(1+(B21))+(Assumptions!C19)*(Assumptions!E31))*(1+(B21))^{1,2,3,4,5,6,7,8,9,10},1/(1+'DCF Valuation'!C4)^({1,2,3,4,5,6,7,8,9,10}-Assumptions!C31))+(Assumptions!C28)*(((G15)-(Assumptions!C17))*(1-(Assumptions!E18))+(Assumptions!C17)-(Assumptions!E17)-(Assumptions!C18)*(B21)/(1+(B21))+(Assumptions!C19)*(Assumptions!E31))*(1+(B21))^10*(1+('DCF Valuation'!C5))/MAX('DCF Valuation'!C4-('DCF Valuation'!C5),0.01)/(1+'DCF Valuation'!C4)^(10-Assumptions!C31)-(Assumptions!C8-Assumptions!E8))/Assumptions!E7,"—")</f>
        <v/>
      </c>
    </row>
    <row r="22" ht="17" customHeight="1">
      <c r="B22" s="64">
        <f>Assumptions!C10+(0.03)</f>
        <v/>
      </c>
      <c r="C22" s="56">
        <f>IFERROR(MAX(0,SUMPRODUCT((Assumptions!C28)*(((C15)-(Assumptions!C17))*(1-(Assumptions!E18))+(Assumptions!C17)-(Assumptions!E17)-(Assumptions!C18)*(B22)/(1+(B22))+(Assumptions!C19)*(Assumptions!E31))*(1+(B22))^{1,2,3,4,5,6,7,8,9,10},1/(1+'DCF Valuation'!C4)^({1,2,3,4,5,6,7,8,9,10}-Assumptions!C31))+(Assumptions!C28)*(((C15)-(Assumptions!C17))*(1-(Assumptions!E18))+(Assumptions!C17)-(Assumptions!E17)-(Assumptions!C18)*(B22)/(1+(B22))+(Assumptions!C19)*(Assumptions!E31))*(1+(B22))^10*(1+('DCF Valuation'!C5))/MAX('DCF Valuation'!C4-('DCF Valuation'!C5),0.01)/(1+'DCF Valuation'!C4)^(10-Assumptions!C31)-(Assumptions!C8-Assumptions!E8))/Assumptions!E7,"—")</f>
        <v/>
      </c>
      <c r="D22" s="56">
        <f>IFERROR(MAX(0,SUMPRODUCT((Assumptions!C28)*(((D15)-(Assumptions!C17))*(1-(Assumptions!E18))+(Assumptions!C17)-(Assumptions!E17)-(Assumptions!C18)*(B22)/(1+(B22))+(Assumptions!C19)*(Assumptions!E31))*(1+(B22))^{1,2,3,4,5,6,7,8,9,10},1/(1+'DCF Valuation'!C4)^({1,2,3,4,5,6,7,8,9,10}-Assumptions!C31))+(Assumptions!C28)*(((D15)-(Assumptions!C17))*(1-(Assumptions!E18))+(Assumptions!C17)-(Assumptions!E17)-(Assumptions!C18)*(B22)/(1+(B22))+(Assumptions!C19)*(Assumptions!E31))*(1+(B22))^10*(1+('DCF Valuation'!C5))/MAX('DCF Valuation'!C4-('DCF Valuation'!C5),0.01)/(1+'DCF Valuation'!C4)^(10-Assumptions!C31)-(Assumptions!C8-Assumptions!E8))/Assumptions!E7,"—")</f>
        <v/>
      </c>
      <c r="E22" s="56">
        <f>IFERROR(MAX(0,SUMPRODUCT((Assumptions!C28)*(((E15)-(Assumptions!C17))*(1-(Assumptions!E18))+(Assumptions!C17)-(Assumptions!E17)-(Assumptions!C18)*(B22)/(1+(B22))+(Assumptions!C19)*(Assumptions!E31))*(1+(B22))^{1,2,3,4,5,6,7,8,9,10},1/(1+'DCF Valuation'!C4)^({1,2,3,4,5,6,7,8,9,10}-Assumptions!C31))+(Assumptions!C28)*(((E15)-(Assumptions!C17))*(1-(Assumptions!E18))+(Assumptions!C17)-(Assumptions!E17)-(Assumptions!C18)*(B22)/(1+(B22))+(Assumptions!C19)*(Assumptions!E31))*(1+(B22))^10*(1+('DCF Valuation'!C5))/MAX('DCF Valuation'!C4-('DCF Valuation'!C5),0.01)/(1+'DCF Valuation'!C4)^(10-Assumptions!C31)-(Assumptions!C8-Assumptions!E8))/Assumptions!E7,"—")</f>
        <v/>
      </c>
      <c r="F22" s="56">
        <f>IFERROR(MAX(0,SUMPRODUCT((Assumptions!C28)*(((F15)-(Assumptions!C17))*(1-(Assumptions!E18))+(Assumptions!C17)-(Assumptions!E17)-(Assumptions!C18)*(B22)/(1+(B22))+(Assumptions!C19)*(Assumptions!E31))*(1+(B22))^{1,2,3,4,5,6,7,8,9,10},1/(1+'DCF Valuation'!C4)^({1,2,3,4,5,6,7,8,9,10}-Assumptions!C31))+(Assumptions!C28)*(((F15)-(Assumptions!C17))*(1-(Assumptions!E18))+(Assumptions!C17)-(Assumptions!E17)-(Assumptions!C18)*(B22)/(1+(B22))+(Assumptions!C19)*(Assumptions!E31))*(1+(B22))^10*(1+('DCF Valuation'!C5))/MAX('DCF Valuation'!C4-('DCF Valuation'!C5),0.01)/(1+'DCF Valuation'!C4)^(10-Assumptions!C31)-(Assumptions!C8-Assumptions!E8))/Assumptions!E7,"—")</f>
        <v/>
      </c>
      <c r="G22" s="56">
        <f>IFERROR(MAX(0,SUMPRODUCT((Assumptions!C28)*(((G15)-(Assumptions!C17))*(1-(Assumptions!E18))+(Assumptions!C17)-(Assumptions!E17)-(Assumptions!C18)*(B22)/(1+(B22))+(Assumptions!C19)*(Assumptions!E31))*(1+(B22))^{1,2,3,4,5,6,7,8,9,10},1/(1+'DCF Valuation'!C4)^({1,2,3,4,5,6,7,8,9,10}-Assumptions!C31))+(Assumptions!C28)*(((G15)-(Assumptions!C17))*(1-(Assumptions!E18))+(Assumptions!C17)-(Assumptions!E17)-(Assumptions!C18)*(B22)/(1+(B22))+(Assumptions!C19)*(Assumptions!E31))*(1+(B22))^10*(1+('DCF Valuation'!C5))/MAX('DCF Valuation'!C4-('DCF Valuation'!C5),0.01)/(1+'DCF Valuation'!C4)^(10-Assumptions!C31)-(Assumptions!C8-Assumptions!E8))/Assumptions!E7,"—")</f>
        <v/>
      </c>
    </row>
    <row r="24" ht="16" customHeight="1">
      <c r="B24" s="59" t="inlineStr">
        <is>
          <t xml:space="preserve">  FOOTBALL FIELD  -  Valuation Range Summary</t>
        </is>
      </c>
      <c r="C24" s="75" t="n"/>
      <c r="D24" s="75" t="n"/>
      <c r="E24" s="75" t="n"/>
      <c r="F24" s="75" t="n"/>
      <c r="G24" s="75" t="n"/>
      <c r="H24" s="76" t="n"/>
    </row>
    <row r="25" ht="15" customHeight="1">
      <c r="B25" s="34" t="inlineStr">
        <is>
          <t>Method</t>
        </is>
      </c>
      <c r="C25" s="34" t="inlineStr">
        <is>
          <t>Low ($)</t>
        </is>
      </c>
      <c r="D25" s="34" t="inlineStr">
        <is>
          <t>High ($)</t>
        </is>
      </c>
      <c r="E25" s="34" t="inlineStr">
        <is>
          <t>Current ($)</t>
        </is>
      </c>
      <c r="F25" s="34" t="inlineStr">
        <is>
          <t>Notes</t>
        </is>
      </c>
    </row>
    <row r="26" ht="17" customHeight="1">
      <c r="B26" s="18" t="inlineStr">
        <is>
          <t xml:space="preserve">  DCF  (base case)</t>
        </is>
      </c>
      <c r="C26" s="56">
        <f>'DCF Valuation'!C26</f>
        <v/>
      </c>
      <c r="D26" s="56">
        <f>'DCF Valuation'!C26</f>
        <v/>
      </c>
      <c r="E26" s="56">
        <f>Assumptions!C7</f>
        <v/>
      </c>
      <c r="F26" s="18" t="inlineStr">
        <is>
          <t xml:space="preserve">  Gordon Growth TV</t>
        </is>
      </c>
    </row>
    <row r="27" ht="17" customHeight="1">
      <c r="B27" s="18" t="inlineStr">
        <is>
          <t xml:space="preserve">  DCF  scenarios (Bear→Bull)</t>
        </is>
      </c>
      <c r="C27" s="56">
        <f>Scenarios!C18</f>
        <v/>
      </c>
      <c r="D27" s="56">
        <f>Scenarios!E18</f>
        <v/>
      </c>
      <c r="E27" s="56">
        <f>Assumptions!C7</f>
        <v/>
      </c>
      <c r="F27" s="18" t="inlineStr">
        <is>
          <t xml:space="preserve">  Linked from Scenarios sheet</t>
        </is>
      </c>
    </row>
    <row r="28" ht="17" customHeight="1">
      <c r="B28" s="18" t="inlineStr">
        <is>
          <t xml:space="preserve">  EV/EBITDA  (18-22x fwd)</t>
        </is>
      </c>
      <c r="C28" s="56">
        <f>'Income Statement'!O13*(1+'DCF Valuation'!C5)*18/Assumptions!E7</f>
        <v/>
      </c>
      <c r="D28" s="56">
        <f>'Income Statement'!O13*(1+'DCF Valuation'!C5)*22/Assumptions!E7</f>
        <v/>
      </c>
      <c r="E28" s="56">
        <f>Assumptions!C7</f>
        <v/>
      </c>
      <c r="F28" s="18" t="inlineStr">
        <is>
          <t xml:space="preserve">  Forward EBITDA × multiple</t>
        </is>
      </c>
    </row>
    <row r="29" ht="17" customHeight="1">
      <c r="B29" s="18" t="inlineStr">
        <is>
          <t xml:space="preserve">  Current price  (mkt)</t>
        </is>
      </c>
      <c r="C29" s="56">
        <f>Assumptions!C7</f>
        <v/>
      </c>
      <c r="D29" s="56">
        <f>Assumptions!C7</f>
        <v/>
      </c>
      <c r="E29" s="56">
        <f>Assumptions!C7</f>
        <v/>
      </c>
      <c r="F29" s="18" t="inlineStr">
        <is>
          <t xml:space="preserve">  Market quote</t>
        </is>
      </c>
    </row>
  </sheetData>
  <mergeCells count="5">
    <mergeCell ref="B14:H14"/>
    <mergeCell ref="B2:L2"/>
    <mergeCell ref="B24:H24"/>
    <mergeCell ref="B4:I4"/>
    <mergeCell ref="B1:L1"/>
  </mergeCells>
  <conditionalFormatting sqref="C6:H12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C16:G22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B1:E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6" customWidth="1" min="3" max="3"/>
    <col width="16" customWidth="1" min="4" max="4"/>
    <col width="16" customWidth="1" min="5" max="5"/>
  </cols>
  <sheetData>
    <row r="1" ht="26" customHeight="1">
      <c r="B1" s="20" t="inlineStr">
        <is>
          <t>SCENARIO ANALYSIS  -  Bear / Base / Bull</t>
        </is>
      </c>
    </row>
    <row r="2" ht="13" customHeight="1">
      <c r="B2" s="7" t="inlineStr">
        <is>
          <t xml:space="preserve">  Edit gold cells for Bear and Bull cases. Base links from Assumptions. Implied prices auto-calculate.</t>
        </is>
      </c>
    </row>
    <row r="4" ht="18" customHeight="1">
      <c r="B4" s="65" t="inlineStr">
        <is>
          <t xml:space="preserve">  ASSUMPTION</t>
        </is>
      </c>
      <c r="C4" s="66" t="inlineStr">
        <is>
          <t>BEAR</t>
        </is>
      </c>
      <c r="D4" s="67" t="inlineStr">
        <is>
          <t>BASE</t>
        </is>
      </c>
      <c r="E4" s="68" t="inlineStr">
        <is>
          <t>BULL</t>
        </is>
      </c>
    </row>
    <row r="5" ht="15" customHeight="1">
      <c r="B5" s="11" t="inlineStr">
        <is>
          <t xml:space="preserve">  REVENUE GROWTH</t>
        </is>
      </c>
      <c r="C5" s="75" t="n"/>
      <c r="D5" s="75" t="n"/>
      <c r="E5" s="76" t="n"/>
    </row>
    <row r="6" ht="17" customHeight="1">
      <c r="B6" s="18" t="inlineStr">
        <is>
          <t xml:space="preserve">  Y1-Y5 Revenue Growth (avg)</t>
        </is>
      </c>
      <c r="C6" s="23">
        <f>MAX((Assumptions!C10+Assumptions!E10+Assumptions!C11+Assumptions!E11+Assumptions!C12)/5-0.03,Assumptions!C26)</f>
        <v/>
      </c>
      <c r="D6" s="23">
        <f>(Assumptions!C10+Assumptions!E10+Assumptions!C11+Assumptions!E11+Assumptions!C12)/5</f>
        <v/>
      </c>
      <c r="E6" s="23">
        <f>MIN((Assumptions!C10+Assumptions!E10+Assumptions!C11+Assumptions!E11+Assumptions!C12)/5+0.04,0.80)</f>
        <v/>
      </c>
    </row>
    <row r="7" ht="17" customHeight="1">
      <c r="B7" s="18" t="inlineStr">
        <is>
          <t xml:space="preserve">  Y6-Y10 Revenue Growth (avg)</t>
        </is>
      </c>
      <c r="C7" s="23">
        <f>MAX((Assumptions!E12+Assumptions!C13+Assumptions!E13+Assumptions!C14+Assumptions!E14)/5-0.02,Assumptions!C26)</f>
        <v/>
      </c>
      <c r="D7" s="23">
        <f>(Assumptions!E12+Assumptions!C13+Assumptions!E13+Assumptions!C14+Assumptions!E14)/5</f>
        <v/>
      </c>
      <c r="E7" s="23">
        <f>MIN((Assumptions!E12+Assumptions!C13+Assumptions!E13+Assumptions!C14+Assumptions!E14)/5+0.03,0.60)</f>
        <v/>
      </c>
    </row>
    <row r="8" ht="15" customHeight="1">
      <c r="B8" s="11" t="inlineStr">
        <is>
          <t xml:space="preserve">  MARGIN &amp; DISCOUNT RATE</t>
        </is>
      </c>
      <c r="C8" s="75" t="n"/>
      <c r="D8" s="75" t="n"/>
      <c r="E8" s="76" t="n"/>
    </row>
    <row r="9" ht="17" customHeight="1">
      <c r="B9" s="18" t="inlineStr">
        <is>
          <t xml:space="preserve">  EBITDA Margin %</t>
        </is>
      </c>
      <c r="C9" s="23">
        <f>MAX(Assumptions!E16-0.05,0.03)</f>
        <v/>
      </c>
      <c r="D9" s="23">
        <f>Assumptions!E16</f>
        <v/>
      </c>
      <c r="E9" s="23">
        <f>MIN(Assumptions!E16+0.08,0.85)</f>
        <v/>
      </c>
    </row>
    <row r="10" ht="17" customHeight="1">
      <c r="B10" s="18" t="inlineStr">
        <is>
          <t xml:space="preserve">  FCF Margin (% of Revenue)</t>
        </is>
      </c>
      <c r="C10" s="23">
        <f>MAX(0,(C9-Assumptions!C17)*(1-Assumptions!E18)+Assumptions!C17-Assumptions!E17-Assumptions!C18+Assumptions!C19*Assumptions!E31)</f>
        <v/>
      </c>
      <c r="D10" s="23">
        <f>MAX(0,(D9-Assumptions!C17)*(1-Assumptions!E18)+Assumptions!C17-Assumptions!E17-Assumptions!C18+Assumptions!C19*Assumptions!E31)</f>
        <v/>
      </c>
      <c r="E10" s="23">
        <f>MAX(0,(E9-Assumptions!C17)*(1-Assumptions!E18)+Assumptions!C17-Assumptions!E17-Assumptions!C18+Assumptions!C19*Assumptions!E31)</f>
        <v/>
      </c>
    </row>
    <row r="11" ht="17" customHeight="1">
      <c r="B11" s="18" t="inlineStr">
        <is>
          <t xml:space="preserve">  WACC</t>
        </is>
      </c>
      <c r="C11" s="21" t="n">
        <v>0.11</v>
      </c>
      <c r="D11" s="23">
        <f>WACC!E17</f>
        <v/>
      </c>
      <c r="E11" s="21" t="n">
        <v>0.08</v>
      </c>
    </row>
    <row r="12" ht="17" customHeight="1">
      <c r="B12" s="18" t="inlineStr">
        <is>
          <t xml:space="preserve">  Terminal Growth Rate</t>
        </is>
      </c>
      <c r="C12" s="21" t="n">
        <v>0.02</v>
      </c>
      <c r="D12" s="23">
        <f>Assumptions!C26</f>
        <v/>
      </c>
      <c r="E12" s="21" t="n">
        <v>0.03</v>
      </c>
    </row>
    <row r="13" ht="15" customHeight="1">
      <c r="B13" s="11" t="inlineStr">
        <is>
          <t xml:space="preserve">  COMMON INPUTS  (linked from model)</t>
        </is>
      </c>
      <c r="C13" s="75" t="n"/>
      <c r="D13" s="75" t="n"/>
      <c r="E13" s="76" t="n"/>
    </row>
    <row r="14" ht="17" customHeight="1">
      <c r="B14" s="18" t="inlineStr">
        <is>
          <t xml:space="preserve">  Base Revenue Y0 ($M)</t>
        </is>
      </c>
      <c r="C14" s="15">
        <f>Assumptions!C28</f>
        <v/>
      </c>
      <c r="D14" s="15">
        <f>Assumptions!C28</f>
        <v/>
      </c>
      <c r="E14" s="15">
        <f>Assumptions!C28</f>
        <v/>
      </c>
    </row>
    <row r="15" ht="17" customHeight="1">
      <c r="B15" s="18" t="inlineStr">
        <is>
          <t xml:space="preserve">  Net Debt ($M)</t>
        </is>
      </c>
      <c r="C15" s="15">
        <f>Assumptions!C8-Assumptions!E8</f>
        <v/>
      </c>
      <c r="D15" s="15">
        <f>Assumptions!C8-Assumptions!E8</f>
        <v/>
      </c>
      <c r="E15" s="15">
        <f>Assumptions!C8-Assumptions!E8</f>
        <v/>
      </c>
    </row>
    <row r="16" ht="17" customHeight="1">
      <c r="B16" s="18" t="inlineStr">
        <is>
          <t xml:space="preserve">  Shares Outstanding (M)</t>
        </is>
      </c>
      <c r="C16" s="15">
        <f>Assumptions!E7</f>
        <v/>
      </c>
      <c r="D16" s="15">
        <f>Assumptions!E7</f>
        <v/>
      </c>
      <c r="E16" s="15">
        <f>Assumptions!E7</f>
        <v/>
      </c>
    </row>
    <row r="17" ht="15" customHeight="1">
      <c r="B17" s="11" t="inlineStr">
        <is>
          <t xml:space="preserve">  VALUATION OUTPUT</t>
        </is>
      </c>
      <c r="C17" s="75" t="n"/>
      <c r="D17" s="75" t="n"/>
      <c r="E17" s="76" t="n"/>
    </row>
    <row r="18" ht="28" customHeight="1">
      <c r="B18" s="45" t="inlineStr">
        <is>
          <t xml:space="preserve">  IMPLIED SHARE PRICE</t>
        </is>
      </c>
      <c r="C18" s="69">
        <f>IFERROR(MAX(0,SUMPRODUCT(C14*C10*(1+C6)^{1,2,3,4,5},1/(1+C11)^({1,2,3,4,5}-Assumptions!C31))+SUMPRODUCT(C14*C10*(1+C6)^5*(1+C7)^{1,2,3,4,5},1/(1+C11)^({6,7,8,9,10}-Assumptions!C31))+C14*C10*(1+C6)^5*(1+C7)^5*(1+C12)/MAX(C11-C12,0.01)/(1+C11)^(10-Assumptions!C31)-C15)/C16,"--")</f>
        <v/>
      </c>
      <c r="D18" s="70">
        <f>IFERROR(MAX(0,SUMPRODUCT(D14*D10*(1+D6)^{1,2,3,4,5},1/(1+D11)^({1,2,3,4,5}-Assumptions!C31))+SUMPRODUCT(D14*D10*(1+D6)^5*(1+D7)^{1,2,3,4,5},1/(1+D11)^({6,7,8,9,10}-Assumptions!C31))+D14*D10*(1+D6)^5*(1+D7)^5*(1+D12)/MAX(D11-D12,0.01)/(1+D11)^(10-Assumptions!C31)-D15)/D16,"--")</f>
        <v/>
      </c>
      <c r="E18" s="71">
        <f>IFERROR(MAX(0,SUMPRODUCT(E14*E10*(1+E6)^{1,2,3,4,5},1/(1+E11)^({1,2,3,4,5}-Assumptions!C31))+SUMPRODUCT(E14*E10*(1+E6)^5*(1+E7)^{1,2,3,4,5},1/(1+E11)^({6,7,8,9,10}-Assumptions!C31))+E14*E10*(1+E6)^5*(1+E7)^5*(1+E12)/MAX(E11-E12,0.01)/(1+E11)^(10-Assumptions!C31)-E15)/E16,"--")</f>
        <v/>
      </c>
    </row>
    <row r="19" ht="17" customHeight="1">
      <c r="B19" s="18" t="inlineStr">
        <is>
          <t xml:space="preserve">  Current Market Price ($)</t>
        </is>
      </c>
      <c r="C19" s="56">
        <f>Assumptions!C7</f>
        <v/>
      </c>
      <c r="D19" s="56">
        <f>Assumptions!C7</f>
        <v/>
      </c>
      <c r="E19" s="56">
        <f>Assumptions!C7</f>
        <v/>
      </c>
    </row>
    <row r="20" ht="17" customHeight="1">
      <c r="B20" s="24" t="inlineStr">
        <is>
          <t xml:space="preserve">  Upside / (Downside) %</t>
        </is>
      </c>
      <c r="C20" s="72">
        <f>IFERROR((C18-D19)/D19,"--")</f>
        <v/>
      </c>
      <c r="D20" s="57">
        <f>IFERROR((D18-D19)/D19,"--")</f>
        <v/>
      </c>
      <c r="E20" s="73">
        <f>IFERROR((E18-D19)/D19,"--")</f>
        <v/>
      </c>
    </row>
    <row r="22" ht="15" customHeight="1">
      <c r="B22" s="11" t="inlineStr">
        <is>
          <t xml:space="preserve">  EXPECTED VALUE SUMMARY</t>
        </is>
      </c>
      <c r="C22" s="75" t="n"/>
      <c r="D22" s="75" t="n"/>
      <c r="E22" s="76" t="n"/>
    </row>
    <row r="23" ht="17" customHeight="1">
      <c r="B23" s="18" t="inlineStr">
        <is>
          <t xml:space="preserve">  Equal-Weighted Avg Price ($)</t>
        </is>
      </c>
      <c r="C23" s="74">
        <f>IFERROR((C18+D18+E18)/3,"--")</f>
        <v/>
      </c>
      <c r="D23" s="75" t="n"/>
      <c r="E23" s="76" t="n"/>
    </row>
    <row r="24" ht="17" customHeight="1">
      <c r="B24" s="18" t="inlineStr">
        <is>
          <t xml:space="preserve">  Expected Upside / (Downside) %</t>
        </is>
      </c>
      <c r="C24" s="25">
        <f>IFERROR((C23-D19)/D19,"--")</f>
        <v/>
      </c>
      <c r="D24" s="75" t="n"/>
      <c r="E24" s="76" t="n"/>
    </row>
  </sheetData>
  <mergeCells count="9">
    <mergeCell ref="B17:E17"/>
    <mergeCell ref="B1:E1"/>
    <mergeCell ref="B8:E8"/>
    <mergeCell ref="B13:E13"/>
    <mergeCell ref="C23:E23"/>
    <mergeCell ref="B5:E5"/>
    <mergeCell ref="B2:E2"/>
    <mergeCell ref="B22:E22"/>
    <mergeCell ref="C24:E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33C00"/>
    <outlinePr summaryBelow="1" summaryRight="1"/>
    <pageSetUpPr/>
  </sheetPr>
  <dimension ref="B1:L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6" customHeight="1">
      <c r="B1" s="20" t="inlineStr">
        <is>
          <t>REVERSE DCF  -  Implied Growth Rate at Current Price</t>
        </is>
      </c>
    </row>
    <row r="2" ht="13" customHeight="1">
      <c r="B2" s="7" t="inlineStr">
        <is>
          <t xml:space="preserve">  Find the column where implied price = current market price. That growth rate is what the market is pricing in.  Range: 2% - 60% to cover both mature and high-growth companies.</t>
        </is>
      </c>
    </row>
    <row r="4" ht="17" customHeight="1">
      <c r="B4" s="77" t="inlineStr">
        <is>
          <t xml:space="preserve">  Target / Market Price ($)</t>
        </is>
      </c>
      <c r="C4" s="76" t="n"/>
      <c r="D4" s="10">
        <f>Assumptions!C7</f>
        <v/>
      </c>
      <c r="E4" s="7" t="inlineStr">
        <is>
          <t xml:space="preserve">  Edit D4 to test any price. Green = implied price &gt;= D4 (potential buy).</t>
        </is>
      </c>
    </row>
    <row r="5" ht="17" customHeight="1">
      <c r="B5" s="18" t="inlineStr">
        <is>
          <t xml:space="preserve">  FCF Margin (model-derived)</t>
        </is>
      </c>
      <c r="C5" s="76" t="n"/>
      <c r="D5" s="23">
        <f>MAX(0,(Assumptions!E16-Assumptions!C17)*(1-Assumptions!E18)+Assumptions!C17-Assumptions!E17-Assumptions!C18+Assumptions!C19*Assumptions!E31)</f>
        <v/>
      </c>
      <c r="E5" s="7" t="inlineStr">
        <is>
          <t xml:space="preserve">  Flows from Assumptions — edit margins there to see impact here.</t>
        </is>
      </c>
    </row>
    <row r="6" ht="17" customHeight="1">
      <c r="B6" s="18" t="inlineStr">
        <is>
          <t xml:space="preserve">  Terminal Growth Rate</t>
        </is>
      </c>
      <c r="C6" s="76" t="n"/>
      <c r="D6" s="23">
        <f>'DCF Valuation'!C5</f>
        <v/>
      </c>
    </row>
    <row r="8" ht="16" customHeight="1">
      <c r="B8" s="11" t="inlineStr">
        <is>
          <t xml:space="preserve">  TABLE: Implied Share Price by Uniform Revenue Growth Rate x WACC -- find where implied price = market price</t>
        </is>
      </c>
      <c r="C8" s="75" t="n"/>
      <c r="D8" s="75" t="n"/>
      <c r="E8" s="75" t="n"/>
      <c r="F8" s="75" t="n"/>
      <c r="G8" s="75" t="n"/>
      <c r="H8" s="75" t="n"/>
      <c r="I8" s="75" t="n"/>
      <c r="J8" s="75" t="n"/>
      <c r="K8" s="75" t="n"/>
      <c r="L8" s="76" t="n"/>
    </row>
    <row r="9" ht="16" customHeight="1">
      <c r="B9" s="60" t="inlineStr">
        <is>
          <t xml:space="preserve">  WACC \ Growth</t>
        </is>
      </c>
      <c r="C9" s="78" t="n">
        <v>0.02</v>
      </c>
      <c r="D9" s="78" t="n">
        <v>0.05</v>
      </c>
      <c r="E9" s="78" t="n">
        <v>0.1</v>
      </c>
      <c r="F9" s="78" t="n">
        <v>0.15</v>
      </c>
      <c r="G9" s="78" t="n">
        <v>0.2</v>
      </c>
      <c r="H9" s="78" t="n">
        <v>0.25</v>
      </c>
      <c r="I9" s="78" t="n">
        <v>0.3</v>
      </c>
      <c r="J9" s="78" t="n">
        <v>0.4</v>
      </c>
      <c r="K9" s="78" t="n">
        <v>0.5</v>
      </c>
      <c r="L9" s="78" t="n">
        <v>0.6</v>
      </c>
    </row>
    <row r="10" ht="17" customHeight="1">
      <c r="B10" s="62">
        <f>'DCF Valuation'!C4+(-0.015)</f>
        <v/>
      </c>
      <c r="C10" s="56">
        <f>IFERROR(MAX(0,SUMPRODUCT(Assumptions!C28*D5*(1+C9)^{1,2,3,4,5,6,7,8,9,10},1/(1+B10)^({1,2,3,4,5,6,7,8,9,10}-Assumptions!C31))+Assumptions!C28*D5*(1+C9)^10*(1+D6)/MAX(B10-D6,0.01)/(1+B10)^(10-Assumptions!C31)-(Assumptions!C8-Assumptions!E8))/Assumptions!E7,"--")</f>
        <v/>
      </c>
      <c r="D10" s="56">
        <f>IFERROR(MAX(0,SUMPRODUCT(Assumptions!C28*D5*(1+D9)^{1,2,3,4,5,6,7,8,9,10},1/(1+B10)^({1,2,3,4,5,6,7,8,9,10}-Assumptions!C31))+Assumptions!C28*D5*(1+D9)^10*(1+D6)/MAX(B10-D6,0.01)/(1+B10)^(10-Assumptions!C31)-(Assumptions!C8-Assumptions!E8))/Assumptions!E7,"--")</f>
        <v/>
      </c>
      <c r="E10" s="56">
        <f>IFERROR(MAX(0,SUMPRODUCT(Assumptions!C28*D5*(1+E9)^{1,2,3,4,5,6,7,8,9,10},1/(1+B10)^({1,2,3,4,5,6,7,8,9,10}-Assumptions!C31))+Assumptions!C28*D5*(1+E9)^10*(1+D6)/MAX(B10-D6,0.01)/(1+B10)^(10-Assumptions!C31)-(Assumptions!C8-Assumptions!E8))/Assumptions!E7,"--")</f>
        <v/>
      </c>
      <c r="F10" s="56">
        <f>IFERROR(MAX(0,SUMPRODUCT(Assumptions!C28*D5*(1+F9)^{1,2,3,4,5,6,7,8,9,10},1/(1+B10)^({1,2,3,4,5,6,7,8,9,10}-Assumptions!C31))+Assumptions!C28*D5*(1+F9)^10*(1+D6)/MAX(B10-D6,0.01)/(1+B10)^(10-Assumptions!C31)-(Assumptions!C8-Assumptions!E8))/Assumptions!E7,"--")</f>
        <v/>
      </c>
      <c r="G10" s="56">
        <f>IFERROR(MAX(0,SUMPRODUCT(Assumptions!C28*D5*(1+G9)^{1,2,3,4,5,6,7,8,9,10},1/(1+B10)^({1,2,3,4,5,6,7,8,9,10}-Assumptions!C31))+Assumptions!C28*D5*(1+G9)^10*(1+D6)/MAX(B10-D6,0.01)/(1+B10)^(10-Assumptions!C31)-(Assumptions!C8-Assumptions!E8))/Assumptions!E7,"--")</f>
        <v/>
      </c>
      <c r="H10" s="56">
        <f>IFERROR(MAX(0,SUMPRODUCT(Assumptions!C28*D5*(1+H9)^{1,2,3,4,5,6,7,8,9,10},1/(1+B10)^({1,2,3,4,5,6,7,8,9,10}-Assumptions!C31))+Assumptions!C28*D5*(1+H9)^10*(1+D6)/MAX(B10-D6,0.01)/(1+B10)^(10-Assumptions!C31)-(Assumptions!C8-Assumptions!E8))/Assumptions!E7,"--")</f>
        <v/>
      </c>
      <c r="I10" s="56">
        <f>IFERROR(MAX(0,SUMPRODUCT(Assumptions!C28*D5*(1+I9)^{1,2,3,4,5,6,7,8,9,10},1/(1+B10)^({1,2,3,4,5,6,7,8,9,10}-Assumptions!C31))+Assumptions!C28*D5*(1+I9)^10*(1+D6)/MAX(B10-D6,0.01)/(1+B10)^(10-Assumptions!C31)-(Assumptions!C8-Assumptions!E8))/Assumptions!E7,"--")</f>
        <v/>
      </c>
      <c r="J10" s="56">
        <f>IFERROR(MAX(0,SUMPRODUCT(Assumptions!C28*D5*(1+J9)^{1,2,3,4,5,6,7,8,9,10},1/(1+B10)^({1,2,3,4,5,6,7,8,9,10}-Assumptions!C31))+Assumptions!C28*D5*(1+J9)^10*(1+D6)/MAX(B10-D6,0.01)/(1+B10)^(10-Assumptions!C31)-(Assumptions!C8-Assumptions!E8))/Assumptions!E7,"--")</f>
        <v/>
      </c>
      <c r="K10" s="56">
        <f>IFERROR(MAX(0,SUMPRODUCT(Assumptions!C28*D5*(1+K9)^{1,2,3,4,5,6,7,8,9,10},1/(1+B10)^({1,2,3,4,5,6,7,8,9,10}-Assumptions!C31))+Assumptions!C28*D5*(1+K9)^10*(1+D6)/MAX(B10-D6,0.01)/(1+B10)^(10-Assumptions!C31)-(Assumptions!C8-Assumptions!E8))/Assumptions!E7,"--")</f>
        <v/>
      </c>
      <c r="L10" s="56">
        <f>IFERROR(MAX(0,SUMPRODUCT(Assumptions!C28*D5*(1+L9)^{1,2,3,4,5,6,7,8,9,10},1/(1+B10)^({1,2,3,4,5,6,7,8,9,10}-Assumptions!C31))+Assumptions!C28*D5*(1+L9)^10*(1+D6)/MAX(B10-D6,0.01)/(1+B10)^(10-Assumptions!C31)-(Assumptions!C8-Assumptions!E8))/Assumptions!E7,"--")</f>
        <v/>
      </c>
    </row>
    <row r="11" ht="17" customHeight="1">
      <c r="B11" s="62">
        <f>'DCF Valuation'!C4+(-0.01)</f>
        <v/>
      </c>
      <c r="C11" s="56">
        <f>IFERROR(MAX(0,SUMPRODUCT(Assumptions!C28*D5*(1+C9)^{1,2,3,4,5,6,7,8,9,10},1/(1+B11)^({1,2,3,4,5,6,7,8,9,10}-Assumptions!C31))+Assumptions!C28*D5*(1+C9)^10*(1+D6)/MAX(B11-D6,0.01)/(1+B11)^(10-Assumptions!C31)-(Assumptions!C8-Assumptions!E8))/Assumptions!E7,"--")</f>
        <v/>
      </c>
      <c r="D11" s="56">
        <f>IFERROR(MAX(0,SUMPRODUCT(Assumptions!C28*D5*(1+D9)^{1,2,3,4,5,6,7,8,9,10},1/(1+B11)^({1,2,3,4,5,6,7,8,9,10}-Assumptions!C31))+Assumptions!C28*D5*(1+D9)^10*(1+D6)/MAX(B11-D6,0.01)/(1+B11)^(10-Assumptions!C31)-(Assumptions!C8-Assumptions!E8))/Assumptions!E7,"--")</f>
        <v/>
      </c>
      <c r="E11" s="56">
        <f>IFERROR(MAX(0,SUMPRODUCT(Assumptions!C28*D5*(1+E9)^{1,2,3,4,5,6,7,8,9,10},1/(1+B11)^({1,2,3,4,5,6,7,8,9,10}-Assumptions!C31))+Assumptions!C28*D5*(1+E9)^10*(1+D6)/MAX(B11-D6,0.01)/(1+B11)^(10-Assumptions!C31)-(Assumptions!C8-Assumptions!E8))/Assumptions!E7,"--")</f>
        <v/>
      </c>
      <c r="F11" s="56">
        <f>IFERROR(MAX(0,SUMPRODUCT(Assumptions!C28*D5*(1+F9)^{1,2,3,4,5,6,7,8,9,10},1/(1+B11)^({1,2,3,4,5,6,7,8,9,10}-Assumptions!C31))+Assumptions!C28*D5*(1+F9)^10*(1+D6)/MAX(B11-D6,0.01)/(1+B11)^(10-Assumptions!C31)-(Assumptions!C8-Assumptions!E8))/Assumptions!E7,"--")</f>
        <v/>
      </c>
      <c r="G11" s="56">
        <f>IFERROR(MAX(0,SUMPRODUCT(Assumptions!C28*D5*(1+G9)^{1,2,3,4,5,6,7,8,9,10},1/(1+B11)^({1,2,3,4,5,6,7,8,9,10}-Assumptions!C31))+Assumptions!C28*D5*(1+G9)^10*(1+D6)/MAX(B11-D6,0.01)/(1+B11)^(10-Assumptions!C31)-(Assumptions!C8-Assumptions!E8))/Assumptions!E7,"--")</f>
        <v/>
      </c>
      <c r="H11" s="56">
        <f>IFERROR(MAX(0,SUMPRODUCT(Assumptions!C28*D5*(1+H9)^{1,2,3,4,5,6,7,8,9,10},1/(1+B11)^({1,2,3,4,5,6,7,8,9,10}-Assumptions!C31))+Assumptions!C28*D5*(1+H9)^10*(1+D6)/MAX(B11-D6,0.01)/(1+B11)^(10-Assumptions!C31)-(Assumptions!C8-Assumptions!E8))/Assumptions!E7,"--")</f>
        <v/>
      </c>
      <c r="I11" s="56">
        <f>IFERROR(MAX(0,SUMPRODUCT(Assumptions!C28*D5*(1+I9)^{1,2,3,4,5,6,7,8,9,10},1/(1+B11)^({1,2,3,4,5,6,7,8,9,10}-Assumptions!C31))+Assumptions!C28*D5*(1+I9)^10*(1+D6)/MAX(B11-D6,0.01)/(1+B11)^(10-Assumptions!C31)-(Assumptions!C8-Assumptions!E8))/Assumptions!E7,"--")</f>
        <v/>
      </c>
      <c r="J11" s="56">
        <f>IFERROR(MAX(0,SUMPRODUCT(Assumptions!C28*D5*(1+J9)^{1,2,3,4,5,6,7,8,9,10},1/(1+B11)^({1,2,3,4,5,6,7,8,9,10}-Assumptions!C31))+Assumptions!C28*D5*(1+J9)^10*(1+D6)/MAX(B11-D6,0.01)/(1+B11)^(10-Assumptions!C31)-(Assumptions!C8-Assumptions!E8))/Assumptions!E7,"--")</f>
        <v/>
      </c>
      <c r="K11" s="56">
        <f>IFERROR(MAX(0,SUMPRODUCT(Assumptions!C28*D5*(1+K9)^{1,2,3,4,5,6,7,8,9,10},1/(1+B11)^({1,2,3,4,5,6,7,8,9,10}-Assumptions!C31))+Assumptions!C28*D5*(1+K9)^10*(1+D6)/MAX(B11-D6,0.01)/(1+B11)^(10-Assumptions!C31)-(Assumptions!C8-Assumptions!E8))/Assumptions!E7,"--")</f>
        <v/>
      </c>
      <c r="L11" s="56">
        <f>IFERROR(MAX(0,SUMPRODUCT(Assumptions!C28*D5*(1+L9)^{1,2,3,4,5,6,7,8,9,10},1/(1+B11)^({1,2,3,4,5,6,7,8,9,10}-Assumptions!C31))+Assumptions!C28*D5*(1+L9)^10*(1+D6)/MAX(B11-D6,0.01)/(1+B11)^(10-Assumptions!C31)-(Assumptions!C8-Assumptions!E8))/Assumptions!E7,"--")</f>
        <v/>
      </c>
    </row>
    <row r="12" ht="17" customHeight="1">
      <c r="B12" s="62">
        <f>'DCF Valuation'!C4+(-0.005)</f>
        <v/>
      </c>
      <c r="C12" s="56">
        <f>IFERROR(MAX(0,SUMPRODUCT(Assumptions!C28*D5*(1+C9)^{1,2,3,4,5,6,7,8,9,10},1/(1+B12)^({1,2,3,4,5,6,7,8,9,10}-Assumptions!C31))+Assumptions!C28*D5*(1+C9)^10*(1+D6)/MAX(B12-D6,0.01)/(1+B12)^(10-Assumptions!C31)-(Assumptions!C8-Assumptions!E8))/Assumptions!E7,"--")</f>
        <v/>
      </c>
      <c r="D12" s="56">
        <f>IFERROR(MAX(0,SUMPRODUCT(Assumptions!C28*D5*(1+D9)^{1,2,3,4,5,6,7,8,9,10},1/(1+B12)^({1,2,3,4,5,6,7,8,9,10}-Assumptions!C31))+Assumptions!C28*D5*(1+D9)^10*(1+D6)/MAX(B12-D6,0.01)/(1+B12)^(10-Assumptions!C31)-(Assumptions!C8-Assumptions!E8))/Assumptions!E7,"--")</f>
        <v/>
      </c>
      <c r="E12" s="56">
        <f>IFERROR(MAX(0,SUMPRODUCT(Assumptions!C28*D5*(1+E9)^{1,2,3,4,5,6,7,8,9,10},1/(1+B12)^({1,2,3,4,5,6,7,8,9,10}-Assumptions!C31))+Assumptions!C28*D5*(1+E9)^10*(1+D6)/MAX(B12-D6,0.01)/(1+B12)^(10-Assumptions!C31)-(Assumptions!C8-Assumptions!E8))/Assumptions!E7,"--")</f>
        <v/>
      </c>
      <c r="F12" s="56">
        <f>IFERROR(MAX(0,SUMPRODUCT(Assumptions!C28*D5*(1+F9)^{1,2,3,4,5,6,7,8,9,10},1/(1+B12)^({1,2,3,4,5,6,7,8,9,10}-Assumptions!C31))+Assumptions!C28*D5*(1+F9)^10*(1+D6)/MAX(B12-D6,0.01)/(1+B12)^(10-Assumptions!C31)-(Assumptions!C8-Assumptions!E8))/Assumptions!E7,"--")</f>
        <v/>
      </c>
      <c r="G12" s="56">
        <f>IFERROR(MAX(0,SUMPRODUCT(Assumptions!C28*D5*(1+G9)^{1,2,3,4,5,6,7,8,9,10},1/(1+B12)^({1,2,3,4,5,6,7,8,9,10}-Assumptions!C31))+Assumptions!C28*D5*(1+G9)^10*(1+D6)/MAX(B12-D6,0.01)/(1+B12)^(10-Assumptions!C31)-(Assumptions!C8-Assumptions!E8))/Assumptions!E7,"--")</f>
        <v/>
      </c>
      <c r="H12" s="56">
        <f>IFERROR(MAX(0,SUMPRODUCT(Assumptions!C28*D5*(1+H9)^{1,2,3,4,5,6,7,8,9,10},1/(1+B12)^({1,2,3,4,5,6,7,8,9,10}-Assumptions!C31))+Assumptions!C28*D5*(1+H9)^10*(1+D6)/MAX(B12-D6,0.01)/(1+B12)^(10-Assumptions!C31)-(Assumptions!C8-Assumptions!E8))/Assumptions!E7,"--")</f>
        <v/>
      </c>
      <c r="I12" s="56">
        <f>IFERROR(MAX(0,SUMPRODUCT(Assumptions!C28*D5*(1+I9)^{1,2,3,4,5,6,7,8,9,10},1/(1+B12)^({1,2,3,4,5,6,7,8,9,10}-Assumptions!C31))+Assumptions!C28*D5*(1+I9)^10*(1+D6)/MAX(B12-D6,0.01)/(1+B12)^(10-Assumptions!C31)-(Assumptions!C8-Assumptions!E8))/Assumptions!E7,"--")</f>
        <v/>
      </c>
      <c r="J12" s="56">
        <f>IFERROR(MAX(0,SUMPRODUCT(Assumptions!C28*D5*(1+J9)^{1,2,3,4,5,6,7,8,9,10},1/(1+B12)^({1,2,3,4,5,6,7,8,9,10}-Assumptions!C31))+Assumptions!C28*D5*(1+J9)^10*(1+D6)/MAX(B12-D6,0.01)/(1+B12)^(10-Assumptions!C31)-(Assumptions!C8-Assumptions!E8))/Assumptions!E7,"--")</f>
        <v/>
      </c>
      <c r="K12" s="56">
        <f>IFERROR(MAX(0,SUMPRODUCT(Assumptions!C28*D5*(1+K9)^{1,2,3,4,5,6,7,8,9,10},1/(1+B12)^({1,2,3,4,5,6,7,8,9,10}-Assumptions!C31))+Assumptions!C28*D5*(1+K9)^10*(1+D6)/MAX(B12-D6,0.01)/(1+B12)^(10-Assumptions!C31)-(Assumptions!C8-Assumptions!E8))/Assumptions!E7,"--")</f>
        <v/>
      </c>
      <c r="L12" s="56">
        <f>IFERROR(MAX(0,SUMPRODUCT(Assumptions!C28*D5*(1+L9)^{1,2,3,4,5,6,7,8,9,10},1/(1+B12)^({1,2,3,4,5,6,7,8,9,10}-Assumptions!C31))+Assumptions!C28*D5*(1+L9)^10*(1+D6)/MAX(B12-D6,0.01)/(1+B12)^(10-Assumptions!C31)-(Assumptions!C8-Assumptions!E8))/Assumptions!E7,"--")</f>
        <v/>
      </c>
    </row>
    <row r="13" ht="17" customHeight="1">
      <c r="B13" s="62">
        <f>'DCF Valuation'!C4+(0.0)</f>
        <v/>
      </c>
      <c r="C13" s="56">
        <f>IFERROR(MAX(0,SUMPRODUCT(Assumptions!C28*D5*(1+C9)^{1,2,3,4,5,6,7,8,9,10},1/(1+B13)^({1,2,3,4,5,6,7,8,9,10}-Assumptions!C31))+Assumptions!C28*D5*(1+C9)^10*(1+D6)/MAX(B13-D6,0.01)/(1+B13)^(10-Assumptions!C31)-(Assumptions!C8-Assumptions!E8))/Assumptions!E7,"--")</f>
        <v/>
      </c>
      <c r="D13" s="56">
        <f>IFERROR(MAX(0,SUMPRODUCT(Assumptions!C28*D5*(1+D9)^{1,2,3,4,5,6,7,8,9,10},1/(1+B13)^({1,2,3,4,5,6,7,8,9,10}-Assumptions!C31))+Assumptions!C28*D5*(1+D9)^10*(1+D6)/MAX(B13-D6,0.01)/(1+B13)^(10-Assumptions!C31)-(Assumptions!C8-Assumptions!E8))/Assumptions!E7,"--")</f>
        <v/>
      </c>
      <c r="E13" s="56">
        <f>IFERROR(MAX(0,SUMPRODUCT(Assumptions!C28*D5*(1+E9)^{1,2,3,4,5,6,7,8,9,10},1/(1+B13)^({1,2,3,4,5,6,7,8,9,10}-Assumptions!C31))+Assumptions!C28*D5*(1+E9)^10*(1+D6)/MAX(B13-D6,0.01)/(1+B13)^(10-Assumptions!C31)-(Assumptions!C8-Assumptions!E8))/Assumptions!E7,"--")</f>
        <v/>
      </c>
      <c r="F13" s="56">
        <f>IFERROR(MAX(0,SUMPRODUCT(Assumptions!C28*D5*(1+F9)^{1,2,3,4,5,6,7,8,9,10},1/(1+B13)^({1,2,3,4,5,6,7,8,9,10}-Assumptions!C31))+Assumptions!C28*D5*(1+F9)^10*(1+D6)/MAX(B13-D6,0.01)/(1+B13)^(10-Assumptions!C31)-(Assumptions!C8-Assumptions!E8))/Assumptions!E7,"--")</f>
        <v/>
      </c>
      <c r="G13" s="56">
        <f>IFERROR(MAX(0,SUMPRODUCT(Assumptions!C28*D5*(1+G9)^{1,2,3,4,5,6,7,8,9,10},1/(1+B13)^({1,2,3,4,5,6,7,8,9,10}-Assumptions!C31))+Assumptions!C28*D5*(1+G9)^10*(1+D6)/MAX(B13-D6,0.01)/(1+B13)^(10-Assumptions!C31)-(Assumptions!C8-Assumptions!E8))/Assumptions!E7,"--")</f>
        <v/>
      </c>
      <c r="H13" s="56">
        <f>IFERROR(MAX(0,SUMPRODUCT(Assumptions!C28*D5*(1+H9)^{1,2,3,4,5,6,7,8,9,10},1/(1+B13)^({1,2,3,4,5,6,7,8,9,10}-Assumptions!C31))+Assumptions!C28*D5*(1+H9)^10*(1+D6)/MAX(B13-D6,0.01)/(1+B13)^(10-Assumptions!C31)-(Assumptions!C8-Assumptions!E8))/Assumptions!E7,"--")</f>
        <v/>
      </c>
      <c r="I13" s="56">
        <f>IFERROR(MAX(0,SUMPRODUCT(Assumptions!C28*D5*(1+I9)^{1,2,3,4,5,6,7,8,9,10},1/(1+B13)^({1,2,3,4,5,6,7,8,9,10}-Assumptions!C31))+Assumptions!C28*D5*(1+I9)^10*(1+D6)/MAX(B13-D6,0.01)/(1+B13)^(10-Assumptions!C31)-(Assumptions!C8-Assumptions!E8))/Assumptions!E7,"--")</f>
        <v/>
      </c>
      <c r="J13" s="56">
        <f>IFERROR(MAX(0,SUMPRODUCT(Assumptions!C28*D5*(1+J9)^{1,2,3,4,5,6,7,8,9,10},1/(1+B13)^({1,2,3,4,5,6,7,8,9,10}-Assumptions!C31))+Assumptions!C28*D5*(1+J9)^10*(1+D6)/MAX(B13-D6,0.01)/(1+B13)^(10-Assumptions!C31)-(Assumptions!C8-Assumptions!E8))/Assumptions!E7,"--")</f>
        <v/>
      </c>
      <c r="K13" s="56">
        <f>IFERROR(MAX(0,SUMPRODUCT(Assumptions!C28*D5*(1+K9)^{1,2,3,4,5,6,7,8,9,10},1/(1+B13)^({1,2,3,4,5,6,7,8,9,10}-Assumptions!C31))+Assumptions!C28*D5*(1+K9)^10*(1+D6)/MAX(B13-D6,0.01)/(1+B13)^(10-Assumptions!C31)-(Assumptions!C8-Assumptions!E8))/Assumptions!E7,"--")</f>
        <v/>
      </c>
      <c r="L13" s="56">
        <f>IFERROR(MAX(0,SUMPRODUCT(Assumptions!C28*D5*(1+L9)^{1,2,3,4,5,6,7,8,9,10},1/(1+B13)^({1,2,3,4,5,6,7,8,9,10}-Assumptions!C31))+Assumptions!C28*D5*(1+L9)^10*(1+D6)/MAX(B13-D6,0.01)/(1+B13)^(10-Assumptions!C31)-(Assumptions!C8-Assumptions!E8))/Assumptions!E7,"--")</f>
        <v/>
      </c>
    </row>
    <row r="14" ht="17" customHeight="1">
      <c r="B14" s="62">
        <f>'DCF Valuation'!C4+(0.005)</f>
        <v/>
      </c>
      <c r="C14" s="56">
        <f>IFERROR(MAX(0,SUMPRODUCT(Assumptions!C28*D5*(1+C9)^{1,2,3,4,5,6,7,8,9,10},1/(1+B14)^({1,2,3,4,5,6,7,8,9,10}-Assumptions!C31))+Assumptions!C28*D5*(1+C9)^10*(1+D6)/MAX(B14-D6,0.01)/(1+B14)^(10-Assumptions!C31)-(Assumptions!C8-Assumptions!E8))/Assumptions!E7,"--")</f>
        <v/>
      </c>
      <c r="D14" s="56">
        <f>IFERROR(MAX(0,SUMPRODUCT(Assumptions!C28*D5*(1+D9)^{1,2,3,4,5,6,7,8,9,10},1/(1+B14)^({1,2,3,4,5,6,7,8,9,10}-Assumptions!C31))+Assumptions!C28*D5*(1+D9)^10*(1+D6)/MAX(B14-D6,0.01)/(1+B14)^(10-Assumptions!C31)-(Assumptions!C8-Assumptions!E8))/Assumptions!E7,"--")</f>
        <v/>
      </c>
      <c r="E14" s="56">
        <f>IFERROR(MAX(0,SUMPRODUCT(Assumptions!C28*D5*(1+E9)^{1,2,3,4,5,6,7,8,9,10},1/(1+B14)^({1,2,3,4,5,6,7,8,9,10}-Assumptions!C31))+Assumptions!C28*D5*(1+E9)^10*(1+D6)/MAX(B14-D6,0.01)/(1+B14)^(10-Assumptions!C31)-(Assumptions!C8-Assumptions!E8))/Assumptions!E7,"--")</f>
        <v/>
      </c>
      <c r="F14" s="56">
        <f>IFERROR(MAX(0,SUMPRODUCT(Assumptions!C28*D5*(1+F9)^{1,2,3,4,5,6,7,8,9,10},1/(1+B14)^({1,2,3,4,5,6,7,8,9,10}-Assumptions!C31))+Assumptions!C28*D5*(1+F9)^10*(1+D6)/MAX(B14-D6,0.01)/(1+B14)^(10-Assumptions!C31)-(Assumptions!C8-Assumptions!E8))/Assumptions!E7,"--")</f>
        <v/>
      </c>
      <c r="G14" s="56">
        <f>IFERROR(MAX(0,SUMPRODUCT(Assumptions!C28*D5*(1+G9)^{1,2,3,4,5,6,7,8,9,10},1/(1+B14)^({1,2,3,4,5,6,7,8,9,10}-Assumptions!C31))+Assumptions!C28*D5*(1+G9)^10*(1+D6)/MAX(B14-D6,0.01)/(1+B14)^(10-Assumptions!C31)-(Assumptions!C8-Assumptions!E8))/Assumptions!E7,"--")</f>
        <v/>
      </c>
      <c r="H14" s="56">
        <f>IFERROR(MAX(0,SUMPRODUCT(Assumptions!C28*D5*(1+H9)^{1,2,3,4,5,6,7,8,9,10},1/(1+B14)^({1,2,3,4,5,6,7,8,9,10}-Assumptions!C31))+Assumptions!C28*D5*(1+H9)^10*(1+D6)/MAX(B14-D6,0.01)/(1+B14)^(10-Assumptions!C31)-(Assumptions!C8-Assumptions!E8))/Assumptions!E7,"--")</f>
        <v/>
      </c>
      <c r="I14" s="56">
        <f>IFERROR(MAX(0,SUMPRODUCT(Assumptions!C28*D5*(1+I9)^{1,2,3,4,5,6,7,8,9,10},1/(1+B14)^({1,2,3,4,5,6,7,8,9,10}-Assumptions!C31))+Assumptions!C28*D5*(1+I9)^10*(1+D6)/MAX(B14-D6,0.01)/(1+B14)^(10-Assumptions!C31)-(Assumptions!C8-Assumptions!E8))/Assumptions!E7,"--")</f>
        <v/>
      </c>
      <c r="J14" s="56">
        <f>IFERROR(MAX(0,SUMPRODUCT(Assumptions!C28*D5*(1+J9)^{1,2,3,4,5,6,7,8,9,10},1/(1+B14)^({1,2,3,4,5,6,7,8,9,10}-Assumptions!C31))+Assumptions!C28*D5*(1+J9)^10*(1+D6)/MAX(B14-D6,0.01)/(1+B14)^(10-Assumptions!C31)-(Assumptions!C8-Assumptions!E8))/Assumptions!E7,"--")</f>
        <v/>
      </c>
      <c r="K14" s="56">
        <f>IFERROR(MAX(0,SUMPRODUCT(Assumptions!C28*D5*(1+K9)^{1,2,3,4,5,6,7,8,9,10},1/(1+B14)^({1,2,3,4,5,6,7,8,9,10}-Assumptions!C31))+Assumptions!C28*D5*(1+K9)^10*(1+D6)/MAX(B14-D6,0.01)/(1+B14)^(10-Assumptions!C31)-(Assumptions!C8-Assumptions!E8))/Assumptions!E7,"--")</f>
        <v/>
      </c>
      <c r="L14" s="56">
        <f>IFERROR(MAX(0,SUMPRODUCT(Assumptions!C28*D5*(1+L9)^{1,2,3,4,5,6,7,8,9,10},1/(1+B14)^({1,2,3,4,5,6,7,8,9,10}-Assumptions!C31))+Assumptions!C28*D5*(1+L9)^10*(1+D6)/MAX(B14-D6,0.01)/(1+B14)^(10-Assumptions!C31)-(Assumptions!C8-Assumptions!E8))/Assumptions!E7,"--")</f>
        <v/>
      </c>
    </row>
    <row r="15" ht="17" customHeight="1">
      <c r="B15" s="62">
        <f>'DCF Valuation'!C4+(0.01)</f>
        <v/>
      </c>
      <c r="C15" s="56">
        <f>IFERROR(MAX(0,SUMPRODUCT(Assumptions!C28*D5*(1+C9)^{1,2,3,4,5,6,7,8,9,10},1/(1+B15)^({1,2,3,4,5,6,7,8,9,10}-Assumptions!C31))+Assumptions!C28*D5*(1+C9)^10*(1+D6)/MAX(B15-D6,0.01)/(1+B15)^(10-Assumptions!C31)-(Assumptions!C8-Assumptions!E8))/Assumptions!E7,"--")</f>
        <v/>
      </c>
      <c r="D15" s="56">
        <f>IFERROR(MAX(0,SUMPRODUCT(Assumptions!C28*D5*(1+D9)^{1,2,3,4,5,6,7,8,9,10},1/(1+B15)^({1,2,3,4,5,6,7,8,9,10}-Assumptions!C31))+Assumptions!C28*D5*(1+D9)^10*(1+D6)/MAX(B15-D6,0.01)/(1+B15)^(10-Assumptions!C31)-(Assumptions!C8-Assumptions!E8))/Assumptions!E7,"--")</f>
        <v/>
      </c>
      <c r="E15" s="56">
        <f>IFERROR(MAX(0,SUMPRODUCT(Assumptions!C28*D5*(1+E9)^{1,2,3,4,5,6,7,8,9,10},1/(1+B15)^({1,2,3,4,5,6,7,8,9,10}-Assumptions!C31))+Assumptions!C28*D5*(1+E9)^10*(1+D6)/MAX(B15-D6,0.01)/(1+B15)^(10-Assumptions!C31)-(Assumptions!C8-Assumptions!E8))/Assumptions!E7,"--")</f>
        <v/>
      </c>
      <c r="F15" s="56">
        <f>IFERROR(MAX(0,SUMPRODUCT(Assumptions!C28*D5*(1+F9)^{1,2,3,4,5,6,7,8,9,10},1/(1+B15)^({1,2,3,4,5,6,7,8,9,10}-Assumptions!C31))+Assumptions!C28*D5*(1+F9)^10*(1+D6)/MAX(B15-D6,0.01)/(1+B15)^(10-Assumptions!C31)-(Assumptions!C8-Assumptions!E8))/Assumptions!E7,"--")</f>
        <v/>
      </c>
      <c r="G15" s="56">
        <f>IFERROR(MAX(0,SUMPRODUCT(Assumptions!C28*D5*(1+G9)^{1,2,3,4,5,6,7,8,9,10},1/(1+B15)^({1,2,3,4,5,6,7,8,9,10}-Assumptions!C31))+Assumptions!C28*D5*(1+G9)^10*(1+D6)/MAX(B15-D6,0.01)/(1+B15)^(10-Assumptions!C31)-(Assumptions!C8-Assumptions!E8))/Assumptions!E7,"--")</f>
        <v/>
      </c>
      <c r="H15" s="56">
        <f>IFERROR(MAX(0,SUMPRODUCT(Assumptions!C28*D5*(1+H9)^{1,2,3,4,5,6,7,8,9,10},1/(1+B15)^({1,2,3,4,5,6,7,8,9,10}-Assumptions!C31))+Assumptions!C28*D5*(1+H9)^10*(1+D6)/MAX(B15-D6,0.01)/(1+B15)^(10-Assumptions!C31)-(Assumptions!C8-Assumptions!E8))/Assumptions!E7,"--")</f>
        <v/>
      </c>
      <c r="I15" s="56">
        <f>IFERROR(MAX(0,SUMPRODUCT(Assumptions!C28*D5*(1+I9)^{1,2,3,4,5,6,7,8,9,10},1/(1+B15)^({1,2,3,4,5,6,7,8,9,10}-Assumptions!C31))+Assumptions!C28*D5*(1+I9)^10*(1+D6)/MAX(B15-D6,0.01)/(1+B15)^(10-Assumptions!C31)-(Assumptions!C8-Assumptions!E8))/Assumptions!E7,"--")</f>
        <v/>
      </c>
      <c r="J15" s="56">
        <f>IFERROR(MAX(0,SUMPRODUCT(Assumptions!C28*D5*(1+J9)^{1,2,3,4,5,6,7,8,9,10},1/(1+B15)^({1,2,3,4,5,6,7,8,9,10}-Assumptions!C31))+Assumptions!C28*D5*(1+J9)^10*(1+D6)/MAX(B15-D6,0.01)/(1+B15)^(10-Assumptions!C31)-(Assumptions!C8-Assumptions!E8))/Assumptions!E7,"--")</f>
        <v/>
      </c>
      <c r="K15" s="56">
        <f>IFERROR(MAX(0,SUMPRODUCT(Assumptions!C28*D5*(1+K9)^{1,2,3,4,5,6,7,8,9,10},1/(1+B15)^({1,2,3,4,5,6,7,8,9,10}-Assumptions!C31))+Assumptions!C28*D5*(1+K9)^10*(1+D6)/MAX(B15-D6,0.01)/(1+B15)^(10-Assumptions!C31)-(Assumptions!C8-Assumptions!E8))/Assumptions!E7,"--")</f>
        <v/>
      </c>
      <c r="L15" s="56">
        <f>IFERROR(MAX(0,SUMPRODUCT(Assumptions!C28*D5*(1+L9)^{1,2,3,4,5,6,7,8,9,10},1/(1+B15)^({1,2,3,4,5,6,7,8,9,10}-Assumptions!C31))+Assumptions!C28*D5*(1+L9)^10*(1+D6)/MAX(B15-D6,0.01)/(1+B15)^(10-Assumptions!C31)-(Assumptions!C8-Assumptions!E8))/Assumptions!E7,"--")</f>
        <v/>
      </c>
    </row>
    <row r="16" ht="17" customHeight="1">
      <c r="B16" s="62">
        <f>'DCF Valuation'!C4+(0.015)</f>
        <v/>
      </c>
      <c r="C16" s="56">
        <f>IFERROR(MAX(0,SUMPRODUCT(Assumptions!C28*D5*(1+C9)^{1,2,3,4,5,6,7,8,9,10},1/(1+B16)^({1,2,3,4,5,6,7,8,9,10}-Assumptions!C31))+Assumptions!C28*D5*(1+C9)^10*(1+D6)/MAX(B16-D6,0.01)/(1+B16)^(10-Assumptions!C31)-(Assumptions!C8-Assumptions!E8))/Assumptions!E7,"--")</f>
        <v/>
      </c>
      <c r="D16" s="56">
        <f>IFERROR(MAX(0,SUMPRODUCT(Assumptions!C28*D5*(1+D9)^{1,2,3,4,5,6,7,8,9,10},1/(1+B16)^({1,2,3,4,5,6,7,8,9,10}-Assumptions!C31))+Assumptions!C28*D5*(1+D9)^10*(1+D6)/MAX(B16-D6,0.01)/(1+B16)^(10-Assumptions!C31)-(Assumptions!C8-Assumptions!E8))/Assumptions!E7,"--")</f>
        <v/>
      </c>
      <c r="E16" s="56">
        <f>IFERROR(MAX(0,SUMPRODUCT(Assumptions!C28*D5*(1+E9)^{1,2,3,4,5,6,7,8,9,10},1/(1+B16)^({1,2,3,4,5,6,7,8,9,10}-Assumptions!C31))+Assumptions!C28*D5*(1+E9)^10*(1+D6)/MAX(B16-D6,0.01)/(1+B16)^(10-Assumptions!C31)-(Assumptions!C8-Assumptions!E8))/Assumptions!E7,"--")</f>
        <v/>
      </c>
      <c r="F16" s="56">
        <f>IFERROR(MAX(0,SUMPRODUCT(Assumptions!C28*D5*(1+F9)^{1,2,3,4,5,6,7,8,9,10},1/(1+B16)^({1,2,3,4,5,6,7,8,9,10}-Assumptions!C31))+Assumptions!C28*D5*(1+F9)^10*(1+D6)/MAX(B16-D6,0.01)/(1+B16)^(10-Assumptions!C31)-(Assumptions!C8-Assumptions!E8))/Assumptions!E7,"--")</f>
        <v/>
      </c>
      <c r="G16" s="56">
        <f>IFERROR(MAX(0,SUMPRODUCT(Assumptions!C28*D5*(1+G9)^{1,2,3,4,5,6,7,8,9,10},1/(1+B16)^({1,2,3,4,5,6,7,8,9,10}-Assumptions!C31))+Assumptions!C28*D5*(1+G9)^10*(1+D6)/MAX(B16-D6,0.01)/(1+B16)^(10-Assumptions!C31)-(Assumptions!C8-Assumptions!E8))/Assumptions!E7,"--")</f>
        <v/>
      </c>
      <c r="H16" s="56">
        <f>IFERROR(MAX(0,SUMPRODUCT(Assumptions!C28*D5*(1+H9)^{1,2,3,4,5,6,7,8,9,10},1/(1+B16)^({1,2,3,4,5,6,7,8,9,10}-Assumptions!C31))+Assumptions!C28*D5*(1+H9)^10*(1+D6)/MAX(B16-D6,0.01)/(1+B16)^(10-Assumptions!C31)-(Assumptions!C8-Assumptions!E8))/Assumptions!E7,"--")</f>
        <v/>
      </c>
      <c r="I16" s="56">
        <f>IFERROR(MAX(0,SUMPRODUCT(Assumptions!C28*D5*(1+I9)^{1,2,3,4,5,6,7,8,9,10},1/(1+B16)^({1,2,3,4,5,6,7,8,9,10}-Assumptions!C31))+Assumptions!C28*D5*(1+I9)^10*(1+D6)/MAX(B16-D6,0.01)/(1+B16)^(10-Assumptions!C31)-(Assumptions!C8-Assumptions!E8))/Assumptions!E7,"--")</f>
        <v/>
      </c>
      <c r="J16" s="56">
        <f>IFERROR(MAX(0,SUMPRODUCT(Assumptions!C28*D5*(1+J9)^{1,2,3,4,5,6,7,8,9,10},1/(1+B16)^({1,2,3,4,5,6,7,8,9,10}-Assumptions!C31))+Assumptions!C28*D5*(1+J9)^10*(1+D6)/MAX(B16-D6,0.01)/(1+B16)^(10-Assumptions!C31)-(Assumptions!C8-Assumptions!E8))/Assumptions!E7,"--")</f>
        <v/>
      </c>
      <c r="K16" s="56">
        <f>IFERROR(MAX(0,SUMPRODUCT(Assumptions!C28*D5*(1+K9)^{1,2,3,4,5,6,7,8,9,10},1/(1+B16)^({1,2,3,4,5,6,7,8,9,10}-Assumptions!C31))+Assumptions!C28*D5*(1+K9)^10*(1+D6)/MAX(B16-D6,0.01)/(1+B16)^(10-Assumptions!C31)-(Assumptions!C8-Assumptions!E8))/Assumptions!E7,"--")</f>
        <v/>
      </c>
      <c r="L16" s="56">
        <f>IFERROR(MAX(0,SUMPRODUCT(Assumptions!C28*D5*(1+L9)^{1,2,3,4,5,6,7,8,9,10},1/(1+B16)^({1,2,3,4,5,6,7,8,9,10}-Assumptions!C31))+Assumptions!C28*D5*(1+L9)^10*(1+D6)/MAX(B16-D6,0.01)/(1+B16)^(10-Assumptions!C31)-(Assumptions!C8-Assumptions!E8))/Assumptions!E7,"--")</f>
        <v/>
      </c>
    </row>
    <row r="18" ht="14" customHeight="1">
      <c r="B18" s="79" t="inlineStr">
        <is>
          <t xml:space="preserve">  HOW TO READ: Find your WACC row (0.00% offset = model WACC). Scan right to find where implied price matches market price. That column = market-implied growth rate.</t>
        </is>
      </c>
      <c r="C18" s="75" t="n"/>
      <c r="D18" s="75" t="n"/>
      <c r="E18" s="75" t="n"/>
      <c r="F18" s="75" t="n"/>
      <c r="G18" s="75" t="n"/>
      <c r="H18" s="75" t="n"/>
      <c r="I18" s="75" t="n"/>
      <c r="J18" s="75" t="n"/>
      <c r="K18" s="75" t="n"/>
      <c r="L18" s="76" t="n"/>
    </row>
    <row r="19" ht="14" customHeight="1">
      <c r="B19" s="79" t="inlineStr">
        <is>
          <t xml:space="preserve">  This uses a UNIFORM growth rate for all 10 years. For two-phase growth analysis, see the Scenarios sheet.</t>
        </is>
      </c>
      <c r="C19" s="75" t="n"/>
      <c r="D19" s="75" t="n"/>
      <c r="E19" s="75" t="n"/>
      <c r="F19" s="75" t="n"/>
      <c r="G19" s="75" t="n"/>
      <c r="H19" s="75" t="n"/>
      <c r="I19" s="75" t="n"/>
      <c r="J19" s="75" t="n"/>
      <c r="K19" s="75" t="n"/>
      <c r="L19" s="76" t="n"/>
    </row>
  </sheetData>
  <mergeCells count="10">
    <mergeCell ref="B6:C6"/>
    <mergeCell ref="E4:L4"/>
    <mergeCell ref="B5:C5"/>
    <mergeCell ref="B2:L2"/>
    <mergeCell ref="B19:L19"/>
    <mergeCell ref="E5:L5"/>
    <mergeCell ref="B4:C4"/>
    <mergeCell ref="B18:L18"/>
    <mergeCell ref="B1:L1"/>
    <mergeCell ref="B8:L8"/>
  </mergeCells>
  <conditionalFormatting sqref="C10:L16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472C4"/>
    <outlinePr summaryBelow="1" summaryRight="1"/>
    <pageSetUpPr/>
  </sheetPr>
  <dimension ref="B1:E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8" customWidth="1" min="3" max="3"/>
    <col width="32" customWidth="1" min="4" max="4"/>
    <col width="18" customWidth="1" min="5" max="5"/>
  </cols>
  <sheetData>
    <row r="1" ht="26" customHeight="1">
      <c r="B1" s="20" t="inlineStr">
        <is>
          <t>PRICE TRACKER  -  Intraday Monitor</t>
        </is>
      </c>
    </row>
    <row r="2" ht="13" customHeight="1">
      <c r="B2" s="7" t="inlineStr">
        <is>
          <t xml:space="preserve">  Run  python update_dcf.py TICKER  to refresh. Gold cells = live data from Yahoo Finance. White = formulas.</t>
        </is>
      </c>
    </row>
    <row r="4" ht="15" customHeight="1">
      <c r="B4" s="11" t="inlineStr">
        <is>
          <t xml:space="preserve">  COMPANY</t>
        </is>
      </c>
      <c r="C4" s="75" t="n"/>
      <c r="D4" s="75" t="n"/>
      <c r="E4" s="76" t="n"/>
    </row>
    <row r="5" ht="17" customHeight="1">
      <c r="B5" s="18" t="inlineStr">
        <is>
          <t xml:space="preserve">  Ticker</t>
        </is>
      </c>
      <c r="C5" s="44">
        <f>'Stock Search'!B5</f>
        <v/>
      </c>
      <c r="D5" s="18" t="inlineStr">
        <is>
          <t xml:space="preserve">  Company</t>
        </is>
      </c>
      <c r="E5" s="44">
        <f>'Stock Search'!D5</f>
        <v/>
      </c>
    </row>
    <row r="6" ht="17" customHeight="1">
      <c r="B6" s="18" t="inlineStr">
        <is>
          <t xml:space="preserve">  Beta (1-yr vs S&amp;P 500)</t>
        </is>
      </c>
      <c r="C6" s="40">
        <f>Assumptions!C22</f>
        <v/>
      </c>
      <c r="D6" s="18" t="inlineStr">
        <is>
          <t xml:space="preserve">  Last Updated</t>
        </is>
      </c>
      <c r="E6" s="44">
        <f>TEXT('Stock Search'!E5,"YYYY-MM-DD")</f>
        <v/>
      </c>
    </row>
    <row r="7" ht="15" customHeight="1">
      <c r="B7" s="11" t="inlineStr">
        <is>
          <t xml:space="preserve">  SESSION PRICES  (refreshed by update_dcf.py)</t>
        </is>
      </c>
      <c r="C7" s="75" t="n"/>
      <c r="D7" s="75" t="n"/>
      <c r="E7" s="76" t="n"/>
    </row>
    <row r="8" ht="22" customHeight="1">
      <c r="B8" s="24" t="inlineStr">
        <is>
          <t xml:space="preserve">  Open ($)</t>
        </is>
      </c>
      <c r="C8" s="10" t="n">
        <v>391.42</v>
      </c>
      <c r="D8" s="24" t="inlineStr">
        <is>
          <t xml:space="preserve">  Market Status</t>
        </is>
      </c>
      <c r="E8" s="9" t="inlineStr">
        <is>
          <t>CLOSED</t>
        </is>
      </c>
    </row>
    <row r="9" ht="22" customHeight="1">
      <c r="B9" s="24" t="inlineStr">
        <is>
          <t xml:space="preserve">  Current ($)</t>
        </is>
      </c>
      <c r="C9" s="74">
        <f>'Stock Search'!C5</f>
        <v/>
      </c>
      <c r="D9" s="24" t="inlineStr">
        <is>
          <t xml:space="preserve">  Change from Open ($)</t>
        </is>
      </c>
      <c r="E9" s="74">
        <f>'Stock Search'!C5-C8</f>
        <v/>
      </c>
    </row>
    <row r="10" ht="17" customHeight="1">
      <c r="B10" s="18" t="inlineStr">
        <is>
          <t xml:space="preserve">  Session High ($)</t>
        </is>
      </c>
      <c r="C10" s="10" t="n">
        <v>391.74</v>
      </c>
      <c r="D10" s="18" t="inlineStr">
        <is>
          <t xml:space="preserve">  Session Low ($)</t>
        </is>
      </c>
      <c r="E10" s="10" t="n">
        <v>382.27</v>
      </c>
    </row>
    <row r="11" ht="22" customHeight="1">
      <c r="B11" s="24" t="inlineStr">
        <is>
          <t xml:space="preserve">  Change from Open (%)</t>
        </is>
      </c>
      <c r="C11" s="25">
        <f>IF(C8=0,0,('Stock Search'!C5-C8)/C8)</f>
        <v/>
      </c>
      <c r="D11" s="24" t="inlineStr">
        <is>
          <t xml:space="preserve">  High-Low Range ($)</t>
        </is>
      </c>
      <c r="E11" s="74">
        <f>C10-E10</f>
        <v/>
      </c>
    </row>
    <row r="12" ht="15" customHeight="1">
      <c r="B12" s="11" t="inlineStr">
        <is>
          <t xml:space="preserve">  52-WEEK RANGE</t>
        </is>
      </c>
      <c r="C12" s="75" t="n"/>
      <c r="D12" s="75" t="n"/>
      <c r="E12" s="76" t="n"/>
    </row>
    <row r="13" ht="17" customHeight="1">
      <c r="B13" s="18" t="inlineStr">
        <is>
          <t xml:space="preserve">  52-Week High ($)</t>
        </is>
      </c>
      <c r="C13" s="56">
        <f>'Stock Search'!D8</f>
        <v/>
      </c>
      <c r="D13" s="18" t="inlineStr">
        <is>
          <t xml:space="preserve">  52-Week Low ($)</t>
        </is>
      </c>
      <c r="E13" s="56">
        <f>'Stock Search'!E8</f>
        <v/>
      </c>
    </row>
    <row r="14" ht="17" customHeight="1">
      <c r="B14" s="18" t="inlineStr">
        <is>
          <t xml:space="preserve">  vs 52-Week High</t>
        </is>
      </c>
      <c r="C14" s="23">
        <f>IF(C13=0,0,('Stock Search'!C5-C13)/C13)</f>
        <v/>
      </c>
      <c r="D14" s="18" t="inlineStr">
        <is>
          <t xml:space="preserve">  vs 52-Week Low</t>
        </is>
      </c>
      <c r="E14" s="23">
        <f>IF(E13=0,0,('Stock Search'!C5-E13)/E13)</f>
        <v/>
      </c>
    </row>
    <row r="15" ht="17" customHeight="1">
      <c r="B15" s="19" t="inlineStr">
        <is>
          <t xml:space="preserve">  52-Week Percentile  (100% = at 52W high)</t>
        </is>
      </c>
      <c r="C15" s="58">
        <f>IFERROR(('Stock Search'!C5-E13)/(C13-E13),0)</f>
        <v/>
      </c>
      <c r="D15" s="75" t="n"/>
      <c r="E15" s="76" t="n"/>
    </row>
    <row r="16" ht="15" customHeight="1">
      <c r="B16" s="11" t="inlineStr">
        <is>
          <t xml:space="preserve">  BETA-ADJUSTED PERFORMANCE  (vs S&amp;P 500 today)</t>
        </is>
      </c>
      <c r="C16" s="75" t="n"/>
      <c r="D16" s="75" t="n"/>
      <c r="E16" s="76" t="n"/>
    </row>
    <row r="17" ht="17" customHeight="1">
      <c r="B17" s="18" t="inlineStr">
        <is>
          <t xml:space="preserve">  S&amp;P 500 Move Today (%)</t>
        </is>
      </c>
      <c r="C17" s="21" t="n">
        <v>0.0028</v>
      </c>
      <c r="D17" s="18" t="inlineStr">
        <is>
          <t xml:space="preserve">  (auto-filled by update_dcf.py)</t>
        </is>
      </c>
      <c r="E17" s="22" t="inlineStr"/>
    </row>
    <row r="18" ht="17" customHeight="1">
      <c r="B18" s="18" t="inlineStr">
        <is>
          <t xml:space="preserve">  Expected Move  (Beta x S&amp;P move)</t>
        </is>
      </c>
      <c r="C18" s="23">
        <f>Assumptions!C22*C17</f>
        <v/>
      </c>
      <c r="D18" s="18" t="inlineStr">
        <is>
          <t xml:space="preserve">  Actual Move (vs open)</t>
        </is>
      </c>
      <c r="E18" s="23">
        <f>C11</f>
        <v/>
      </c>
    </row>
    <row r="19" ht="22" customHeight="1">
      <c r="B19" s="24" t="inlineStr">
        <is>
          <t xml:space="preserve">  Alpha Today  (actual - expected)</t>
        </is>
      </c>
      <c r="C19" s="25">
        <f>C11-Assumptions!C22*C17</f>
        <v/>
      </c>
      <c r="D19" s="75" t="n"/>
      <c r="E19" s="76" t="n"/>
    </row>
    <row r="20" ht="14" customHeight="1">
      <c r="B20" s="48" t="inlineStr">
        <is>
          <t xml:space="preserve">  Alpha = actual stock move minus CAPM-predicted move (beta x market). Positive alpha = stock outperformed its risk-adjusted expectation today.</t>
        </is>
      </c>
      <c r="C20" s="75" t="n"/>
      <c r="D20" s="75" t="n"/>
      <c r="E20" s="76" t="n"/>
    </row>
  </sheetData>
  <mergeCells count="9">
    <mergeCell ref="B1:E1"/>
    <mergeCell ref="B4:E4"/>
    <mergeCell ref="C19:E19"/>
    <mergeCell ref="B12:E12"/>
    <mergeCell ref="B16:E16"/>
    <mergeCell ref="B7:E7"/>
    <mergeCell ref="B2:E2"/>
    <mergeCell ref="B20:E20"/>
    <mergeCell ref="C15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2026-06-14T23:13:17Z</dcterms:created>
  <dcterms:modified xmlns:dcterms="http://purl.org/dc/terms/" xmlns:xsi="http://www.w3.org/2001/XMLSchema-instance" xsi:type="dcterms:W3CDTF">2026-06-14T23:13:18Z</dcterms:modified>
</cp:coreProperties>
</file>